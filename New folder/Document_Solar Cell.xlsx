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larProject HUWAI\New folder\"/>
    </mc:Choice>
  </mc:AlternateContent>
  <xr:revisionPtr revIDLastSave="0" documentId="13_ncr:1_{EAFBDC65-B017-429D-B6F3-E38FEE74FE98}" xr6:coauthVersionLast="47" xr6:coauthVersionMax="47" xr10:uidLastSave="{00000000-0000-0000-0000-000000000000}"/>
  <bookViews>
    <workbookView xWindow="-120" yWindow="-120" windowWidth="29040" windowHeight="15840" activeTab="2" xr2:uid="{2587DB96-AB10-44A8-AD1D-443E49B96702}"/>
  </bookViews>
  <sheets>
    <sheet name="IEC104 All Data" sheetId="1" r:id="rId1"/>
    <sheet name="FAT Procedure" sheetId="16" r:id="rId2"/>
    <sheet name="Energy_Meter" sheetId="9" r:id="rId3"/>
    <sheet name="Weather_Station" sheetId="2" r:id="rId4"/>
    <sheet name="Protection_Relay" sheetId="4" r:id="rId5"/>
    <sheet name="INV" sheetId="6" r:id="rId6"/>
    <sheet name="INv Modbus" sheetId="7" r:id="rId7"/>
    <sheet name="INV Modbus-2" sheetId="8" r:id="rId8"/>
    <sheet name="Fautl Data of P_Relay" sheetId="13" r:id="rId9"/>
    <sheet name="P_Realy Alarm" sheetId="14" r:id="rId10"/>
    <sheet name="Alarm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6" l="1"/>
  <c r="D37" i="6"/>
  <c r="D36" i="6"/>
  <c r="D35" i="6"/>
  <c r="D34" i="6"/>
  <c r="D32" i="6"/>
  <c r="D31" i="6"/>
  <c r="D30" i="6"/>
  <c r="D29" i="6"/>
  <c r="D28" i="6"/>
  <c r="D27" i="6"/>
  <c r="D26" i="6"/>
  <c r="D25" i="6"/>
  <c r="D19" i="6"/>
  <c r="D18" i="6"/>
  <c r="D17" i="6"/>
  <c r="D16" i="6"/>
  <c r="D15" i="6"/>
  <c r="D14" i="6"/>
  <c r="D12" i="6"/>
  <c r="D11" i="6"/>
  <c r="D10" i="6"/>
  <c r="D9" i="6"/>
  <c r="D8" i="6"/>
  <c r="D7" i="6"/>
  <c r="D4" i="6"/>
  <c r="C4" i="1"/>
</calcChain>
</file>

<file path=xl/sharedStrings.xml><?xml version="1.0" encoding="utf-8"?>
<sst xmlns="http://schemas.openxmlformats.org/spreadsheetml/2006/main" count="1001" uniqueCount="588">
  <si>
    <r>
      <rPr>
        <b/>
        <sz val="11"/>
        <color rgb="FF000000"/>
        <rFont val="Arial"/>
        <family val="2"/>
      </rPr>
      <t>Signal Name</t>
    </r>
  </si>
  <si>
    <r>
      <rPr>
        <b/>
        <sz val="11"/>
        <color rgb="FF000000"/>
        <rFont val="Arial"/>
        <family val="2"/>
      </rPr>
      <t>Status</t>
    </r>
  </si>
  <si>
    <r>
      <rPr>
        <b/>
        <sz val="11"/>
        <color rgb="FF000000"/>
        <rFont val="Arial"/>
        <family val="2"/>
      </rPr>
      <t>Command</t>
    </r>
  </si>
  <si>
    <r>
      <rPr>
        <b/>
        <sz val="11"/>
        <color rgb="FF000000"/>
        <rFont val="Arial"/>
        <family val="2"/>
      </rPr>
      <t>Teleadjust</t>
    </r>
  </si>
  <si>
    <r>
      <rPr>
        <b/>
        <sz val="11"/>
        <color rgb="FF000000"/>
        <rFont val="Arial"/>
        <family val="2"/>
      </rPr>
      <t>No.</t>
    </r>
  </si>
  <si>
    <r>
      <rPr>
        <b/>
        <sz val="11"/>
        <color rgb="FF000000"/>
        <rFont val="Arial"/>
        <family val="2"/>
      </rPr>
      <t>Unit</t>
    </r>
  </si>
  <si>
    <r>
      <rPr>
        <b/>
        <sz val="11"/>
        <color rgb="FF000000"/>
        <rFont val="Arial"/>
        <family val="2"/>
      </rPr>
      <t>Precision</t>
    </r>
  </si>
  <si>
    <t>PV1 voltage</t>
  </si>
  <si>
    <t>Communication failure</t>
  </si>
  <si>
    <t>Startup control</t>
  </si>
  <si>
    <t>0: Startup 1: Invalid</t>
  </si>
  <si>
    <t>PV2 voltage</t>
  </si>
  <si>
    <t>Locking status</t>
  </si>
  <si>
    <t>Shutdown control</t>
  </si>
  <si>
    <t>0: Shutdown 1: Invalid</t>
  </si>
  <si>
    <t>PV3 voltage</t>
  </si>
  <si>
    <t>Inverter startup/shutdown status</t>
  </si>
  <si>
    <t>0: Shutdown 1: Startup</t>
  </si>
  <si>
    <t>Startup/shutdown control</t>
  </si>
  <si>
    <t>PV4 voltage</t>
  </si>
  <si>
    <t>High string input voltage</t>
  </si>
  <si>
    <t>PV5 voltage</t>
  </si>
  <si>
    <t>DC Arc Fault</t>
  </si>
  <si>
    <t>PV6 voltage</t>
  </si>
  <si>
    <t>String Reverse Connection</t>
  </si>
  <si>
    <t>PV7 voltage</t>
  </si>
  <si>
    <t>String current backfeed</t>
  </si>
  <si>
    <t>PV8 voltage</t>
  </si>
  <si>
    <t>Abnormal String Power</t>
  </si>
  <si>
    <t>PV1 current</t>
  </si>
  <si>
    <t>AFCI Self-Check Failure</t>
  </si>
  <si>
    <t>PV2 current</t>
  </si>
  <si>
    <t>Phase Wire Short-Circuited to PE</t>
  </si>
  <si>
    <t>PV3 current</t>
  </si>
  <si>
    <t>Grid Loss</t>
  </si>
  <si>
    <t>PV4 current</t>
  </si>
  <si>
    <t>Grid Undervoltage</t>
  </si>
  <si>
    <t>PV5 current</t>
  </si>
  <si>
    <t>Grid Overvoltage</t>
  </si>
  <si>
    <t>PV6 current</t>
  </si>
  <si>
    <t>Grid Voltage Imbalance</t>
  </si>
  <si>
    <t>PV7 current</t>
  </si>
  <si>
    <t>Grid Overfrequency</t>
  </si>
  <si>
    <t>PV8 current</t>
  </si>
  <si>
    <t>Grid Underfrequency</t>
  </si>
  <si>
    <t>AB Line voltage</t>
  </si>
  <si>
    <t>Unstable Grid Frequency</t>
  </si>
  <si>
    <t>BC Line voltage</t>
  </si>
  <si>
    <t>Output Overcurrent</t>
  </si>
  <si>
    <t>CA Line voltage</t>
  </si>
  <si>
    <t>Output DC Component Overhigh</t>
  </si>
  <si>
    <t>Phase A voltage</t>
  </si>
  <si>
    <t>Abnormal Residual Current</t>
  </si>
  <si>
    <t>Phase B voltage</t>
  </si>
  <si>
    <t>Abnormal Grounding</t>
  </si>
  <si>
    <t>Phase C voltage</t>
  </si>
  <si>
    <t>Low Insulation Resistance</t>
  </si>
  <si>
    <t>Phase A current</t>
  </si>
  <si>
    <t>Cabinet Overtemperature</t>
  </si>
  <si>
    <t>Phase B current</t>
  </si>
  <si>
    <t>Device Fault</t>
  </si>
  <si>
    <t>Phase C current</t>
  </si>
  <si>
    <t>Upgrade Failed</t>
  </si>
  <si>
    <t>Grid frequency</t>
  </si>
  <si>
    <t>License Expired</t>
  </si>
  <si>
    <t>Active power</t>
  </si>
  <si>
    <t>Faulty Monitoring Unit</t>
  </si>
  <si>
    <t>Reactive power</t>
  </si>
  <si>
    <t>Faulty Power Collector</t>
  </si>
  <si>
    <t>Power factor</t>
  </si>
  <si>
    <t>/</t>
  </si>
  <si>
    <t>ESS Abnormal</t>
  </si>
  <si>
    <t>Total input power</t>
  </si>
  <si>
    <t>Active Islanding</t>
  </si>
  <si>
    <t>Cabinet temperature</t>
  </si>
  <si>
    <t>Passive Islanding</t>
  </si>
  <si>
    <t>Inverter efficiency</t>
  </si>
  <si>
    <t>%</t>
  </si>
  <si>
    <t>Transient AC Overvoltage</t>
  </si>
  <si>
    <t>Daily energy yield</t>
  </si>
  <si>
    <t>Peripheral port short circuit</t>
  </si>
  <si>
    <t>Total energy yield</t>
  </si>
  <si>
    <t>Off-grid output overload</t>
  </si>
  <si>
    <t>Reduced CO2 emission</t>
  </si>
  <si>
    <t>Abnormal PV module configuration</t>
  </si>
  <si>
    <t>Inverter Operating Status</t>
  </si>
  <si>
    <t>Standby</t>
  </si>
  <si>
    <t>&lt;-Note:</t>
  </si>
  <si>
    <r>
      <rPr>
        <sz val="11"/>
        <color indexed="8"/>
        <rFont val="等线"/>
        <family val="3"/>
        <charset val="134"/>
      </rPr>
      <t>Grid connection conditions are classified into normal connection, grid connection with derating due to power rationing, and grid connection with derating due to inverter internal causes</t>
    </r>
    <r>
      <rPr>
        <sz val="11"/>
        <color indexed="8"/>
        <rFont val="等线"/>
        <family val="3"/>
        <charset val="134"/>
      </rPr>
      <t xml:space="preserve">
</t>
    </r>
    <r>
      <rPr>
        <sz val="11"/>
        <color indexed="8"/>
        <rFont val="等线"/>
        <family val="3"/>
        <charset val="134"/>
      </rPr>
      <t>Shutdown conditions are classified into normal shutdown and shutdown due to power rationing.</t>
    </r>
  </si>
  <si>
    <t>Startup time</t>
  </si>
  <si>
    <t>On-grid</t>
  </si>
  <si>
    <t>Shutdown time</t>
  </si>
  <si>
    <t>Normal grid connection</t>
  </si>
  <si>
    <t>Monthly energy yield</t>
  </si>
  <si>
    <t>Grid connection with derating due to power rationing</t>
  </si>
  <si>
    <t>Yearly energy yield</t>
  </si>
  <si>
    <t>Grid connection with derating due to inverter internal causes</t>
  </si>
  <si>
    <t>Inverter Operating Status (Tianjin, China)</t>
  </si>
  <si>
    <t>Normal shutdown</t>
  </si>
  <si>
    <t>Reserved</t>
  </si>
  <si>
    <t>Faulty</t>
  </si>
  <si>
    <t>Shutdown due to power rationing</t>
  </si>
  <si>
    <t>Shutdown</t>
  </si>
  <si>
    <t>Spot-check</t>
  </si>
  <si>
    <t>Optimizer fault</t>
  </si>
  <si>
    <t>Built-in PID operation abnormal</t>
  </si>
  <si>
    <t>High input string voltage to ground</t>
  </si>
  <si>
    <t>Inverter running status (Hubei)</t>
  </si>
  <si>
    <t>External fan abnormal</t>
  </si>
  <si>
    <t>Inverter running status (Tianjin)</t>
  </si>
  <si>
    <t>Battery Reverse Connection</t>
  </si>
  <si>
    <t>0: Grid-tied</t>
  </si>
  <si>
    <t>Grid-tied/Off-grid controller abnormal</t>
  </si>
  <si>
    <t>1: Standby</t>
  </si>
  <si>
    <t>PV String Loss</t>
  </si>
  <si>
    <t>2: Power limiting</t>
  </si>
  <si>
    <t>3: Shut down (including shutdown due to faults)</t>
  </si>
  <si>
    <t>Indicates the enabling status of the high voltage ride through function.</t>
  </si>
  <si>
    <t>0: disabled; 1: enabled</t>
  </si>
  <si>
    <t>Indicates the enabling status of the bottom pressure traversal function.</t>
  </si>
  <si>
    <t xml:space="preserve">
   Teleindication: (0x0001 – 1) + (Start teleindication signal address – 1) + Teleindication No. 
   Telemetry: (0x4001 – 1) + (Start telemetry signal address – 1) + Telemetry No. 
   Telecontrol: (0x6001 – 1) + (Start telecontrol signal address – 1) + Telecontrol No. 
   Teleadjust: (0x6201 – 1) + (Start teleadjust signal address – 1) + Teleadjust No. </t>
  </si>
  <si>
    <t>Telemetry &lt;13&gt;: = Measurement value, short floating point number</t>
  </si>
  <si>
    <t>Teleindication &lt;1&gt;: = Single point information</t>
  </si>
  <si>
    <t>Telecontrol &lt;45&gt;: = Single point command &lt;46&gt;: = Double point command</t>
  </si>
  <si>
    <t>(16385– 1) + (Start telemetry signal address – 1) + Telemetry No.</t>
  </si>
  <si>
    <t>Ambient temperature</t>
  </si>
  <si>
    <t>Temperature 1 (Bracket)</t>
  </si>
  <si>
    <t>Instantaneous wind direction</t>
  </si>
  <si>
    <t>Instantaneous wind speed</t>
  </si>
  <si>
    <t>Dew-point Temperature</t>
  </si>
  <si>
    <t>Ambient Humidity</t>
  </si>
  <si>
    <t>Wind speed in 2 minutes</t>
  </si>
  <si>
    <t>Instantaneous value of total radiation 1</t>
  </si>
  <si>
    <t>Cumulative value of sunshine duration</t>
  </si>
  <si>
    <t>Cumulative value of total radiation 1</t>
  </si>
  <si>
    <t>Cumulative value of scattered radiation</t>
  </si>
  <si>
    <t>Cumulative value of direct radiation</t>
  </si>
  <si>
    <t>Cumulative value of photosynthetic</t>
  </si>
  <si>
    <t>Daily sunshine duration</t>
  </si>
  <si>
    <t>Daily cumulative value of total radiation 1</t>
  </si>
  <si>
    <t>Daily cumulative value of scattered radiation</t>
  </si>
  <si>
    <t>Daily cumulative value of direct radiation</t>
  </si>
  <si>
    <t>Daily cumulative value of net radiation</t>
  </si>
  <si>
    <t>Daily cumulative value of photosynthetic radiation</t>
  </si>
  <si>
    <t>000E</t>
  </si>
  <si>
    <t>001A</t>
  </si>
  <si>
    <t>001C</t>
  </si>
  <si>
    <t>001B</t>
  </si>
  <si>
    <t>001D</t>
  </si>
  <si>
    <t>Item</t>
  </si>
  <si>
    <t>Address of Register</t>
  </si>
  <si>
    <t>Modbus</t>
  </si>
  <si>
    <t>Resolution</t>
  </si>
  <si>
    <t>Default serial port communication parameters: 
Serial port baud rate: 9600 
Stop bit: 1 
Data bit: 8 
Check bit: Null 
Default device address: 01</t>
  </si>
  <si>
    <t>BitA</t>
  </si>
  <si>
    <t>Test/service position status</t>
  </si>
  <si>
    <t>Remote/local control status</t>
  </si>
  <si>
    <t>Relay trip Flag</t>
  </si>
  <si>
    <t>AC Trip Flag</t>
  </si>
  <si>
    <t>DC Trip Flag</t>
  </si>
  <si>
    <t>MCB Trip Flag</t>
  </si>
  <si>
    <t>Protection Relay Status ( Alarm / Trip / Reset )</t>
  </si>
  <si>
    <t xml:space="preserve">- (50) instantaneous overcurrent </t>
  </si>
  <si>
    <t xml:space="preserve">- (51) Time Overcurrent </t>
  </si>
  <si>
    <t xml:space="preserve">- (67N) Directional Earth Fault </t>
  </si>
  <si>
    <t>Circuit breaker open position</t>
  </si>
  <si>
    <t>Circuit breaker close position</t>
  </si>
  <si>
    <t>RegA</t>
  </si>
  <si>
    <t>Circuit breaker tripMaster1</t>
  </si>
  <si>
    <t>Circuit breaker tripMaster2</t>
  </si>
  <si>
    <t>- (51BF) Circuit breaker failure Timer running</t>
  </si>
  <si>
    <t xml:space="preserve">- (51BF) Circuit breaker failure Fail, external trip </t>
  </si>
  <si>
    <t>- (51BF) Circuit breaker failure Internal re-trip</t>
  </si>
  <si>
    <t>- (86) Lockout Relay Status</t>
  </si>
  <si>
    <t>Spring charged/discharged Alarm</t>
  </si>
  <si>
    <t>Earth switch close position (1)</t>
  </si>
  <si>
    <t>Earth switch open position (1)</t>
  </si>
  <si>
    <t>Earth switch close position (2)</t>
  </si>
  <si>
    <t>Earth switch open position (2)</t>
  </si>
  <si>
    <t>SSR2 System status register (2) protection relay's mode and state</t>
  </si>
  <si>
    <t>SSR1 System status register (1) device health</t>
  </si>
  <si>
    <t>Protection Relay Status ( Alarm)</t>
  </si>
  <si>
    <t>Protection Relay Status ( Error)</t>
  </si>
  <si>
    <t>Three-phase non-directional overcurrent protection, high stage (2)</t>
  </si>
  <si>
    <t>- (67) Directional overcurrent high stage (1)</t>
  </si>
  <si>
    <t>- (67) Directional overcurrent low stage (1)</t>
  </si>
  <si>
    <t>- (67) Directional overcurrent low stage (2)</t>
  </si>
  <si>
    <t>- (46) Negative-sequence overcurrent protection (1)</t>
  </si>
  <si>
    <t>العناوين المطلوبه</t>
  </si>
  <si>
    <t>Numebr</t>
  </si>
  <si>
    <t>العناويبن المقابله IEC</t>
  </si>
  <si>
    <t>Teleindication: (0x0001 – 1) + (Start teleindication signal address – 1) + Teleindication No. 
   Telemetry: (0x4001 – 1) + (Start telemetry signal address – 1) + Telemetry No.</t>
  </si>
  <si>
    <t>Real Address</t>
  </si>
  <si>
    <t>Active Power (per inverter and total)</t>
  </si>
  <si>
    <t>TELEMERTY</t>
  </si>
  <si>
    <t>Reactive Power</t>
  </si>
  <si>
    <t>Apparent Power</t>
  </si>
  <si>
    <t>Power Factor</t>
  </si>
  <si>
    <t>AC Voltage (L-L or L-N)</t>
  </si>
  <si>
    <t>AC Current (per phase)</t>
  </si>
  <si>
    <t>Frequency</t>
  </si>
  <si>
    <t>DC Voltage ( String Level)</t>
  </si>
  <si>
    <t>DC Current</t>
  </si>
  <si>
    <t>DC Power</t>
  </si>
  <si>
    <t>Inverter Efficiency</t>
  </si>
  <si>
    <t>Daily Energy Yield</t>
  </si>
  <si>
    <t>Total Energy Yield</t>
  </si>
  <si>
    <t>Inverter Running / Stopped</t>
  </si>
  <si>
    <t>Inverter Grid Connection Status (Connected / Disconnected)</t>
  </si>
  <si>
    <t>Teleindication</t>
  </si>
  <si>
    <t>Communication Status (Healthy / Lost)</t>
  </si>
  <si>
    <t>Remote ON/OFF Status</t>
  </si>
  <si>
    <t>Active Power Control Mode</t>
  </si>
  <si>
    <t>Reactive Power Control Mode</t>
  </si>
  <si>
    <t>Islanding Detection Status</t>
  </si>
  <si>
    <t>Power Curtailment Status</t>
  </si>
  <si>
    <t>General Fault Trip</t>
  </si>
  <si>
    <t>Warning Active (Derating, Overtemperature)</t>
  </si>
  <si>
    <t>DC Insulation Fault</t>
  </si>
  <si>
    <t>Ground Fault</t>
  </si>
  <si>
    <t>AC Overvoltage</t>
  </si>
  <si>
    <t>AC Undervoltage</t>
  </si>
  <si>
    <t>DC Overvoltage</t>
  </si>
  <si>
    <t>Inverter Over temperature</t>
  </si>
  <si>
    <t>String Reverse Polarity</t>
  </si>
  <si>
    <t>Fan Failure</t>
  </si>
  <si>
    <t>Communication Failure</t>
  </si>
  <si>
    <t>Power Limitation Active due to Grid Command</t>
  </si>
  <si>
    <t>Inverter Trip History Available</t>
  </si>
  <si>
    <t>IEC104</t>
  </si>
  <si>
    <t>NON</t>
  </si>
  <si>
    <t>Name</t>
  </si>
  <si>
    <t xml:space="preserve">ملحوظه الفرق بين ال BitA و RegA هو انه ف حاله ال BitA بتستخدمو مع  0x and 1x بينما لو محتاج تستخدمه 3X بتستخدم العنوان بتاع REGA </t>
  </si>
  <si>
    <t>REG Address</t>
  </si>
  <si>
    <t>QUNTITY</t>
  </si>
  <si>
    <t>Quantity OF PV Running</t>
  </si>
  <si>
    <t>Input Power</t>
  </si>
  <si>
    <t>DC Current2</t>
  </si>
  <si>
    <t>PHASE A Current</t>
  </si>
  <si>
    <t>PHASE B Current</t>
  </si>
  <si>
    <t>PHASE C Current</t>
  </si>
  <si>
    <t>A-B Line Voltage</t>
  </si>
  <si>
    <t>B-C Line Voltage</t>
  </si>
  <si>
    <t>C-A Line Voltage</t>
  </si>
  <si>
    <t>Gain</t>
  </si>
  <si>
    <t>Working Mode</t>
  </si>
  <si>
    <t>Grid Connection Status</t>
  </si>
  <si>
    <t>Current Daily Energy Yield</t>
  </si>
  <si>
    <t>quantity</t>
  </si>
  <si>
    <t>● Register address = Initial register address + (25 * (Device address – 1)) +
Offset address
● Initial register address = 51000
● For the registers must be set in sequence, the device address must be in strict
accordance with the continuous number to avoid waste of registers.</t>
  </si>
  <si>
    <t>offset</t>
  </si>
  <si>
    <t>Register Definitions for the SUN2000</t>
  </si>
  <si>
    <t>Register Definitions for the Logger</t>
  </si>
  <si>
    <t>Phase A Current</t>
  </si>
  <si>
    <t>Phase B Current</t>
  </si>
  <si>
    <t>Phase C Current</t>
  </si>
  <si>
    <t>Phase A Voltage</t>
  </si>
  <si>
    <t>Phase B Voltage</t>
  </si>
  <si>
    <t>Phase C Voltage</t>
  </si>
  <si>
    <t>Phase A Watts</t>
  </si>
  <si>
    <t>Phase B Watts</t>
  </si>
  <si>
    <t>Phase C Watts</t>
  </si>
  <si>
    <t>Phase A Vars</t>
  </si>
  <si>
    <t>Phase B Vars</t>
  </si>
  <si>
    <t>Phase C Vars</t>
  </si>
  <si>
    <t>Phase A VA</t>
  </si>
  <si>
    <t>Phase B VA</t>
  </si>
  <si>
    <t>Phase C VA</t>
  </si>
  <si>
    <r>
      <rPr>
        <b/>
        <sz val="10.5"/>
        <rFont val="Roboto Bk"/>
      </rPr>
      <t>Minor</t>
    </r>
  </si>
  <si>
    <r>
      <rPr>
        <b/>
        <sz val="10.5"/>
        <rFont val="Roboto Bk"/>
      </rPr>
      <t>SOC equalization failed.</t>
    </r>
  </si>
  <si>
    <r>
      <rPr>
        <b/>
        <sz val="10.5"/>
        <rFont val="Roboto Bk"/>
      </rPr>
      <t xml:space="preserve">SOC
</t>
    </r>
    <r>
      <rPr>
        <b/>
        <sz val="10.5"/>
        <rFont val="Roboto Bk"/>
      </rPr>
      <t>equalizati on failed.</t>
    </r>
  </si>
  <si>
    <r>
      <rPr>
        <b/>
        <sz val="10.5"/>
        <rFont val="Roboto Bk"/>
      </rPr>
      <t>Major</t>
    </r>
  </si>
  <si>
    <r>
      <rPr>
        <b/>
        <sz val="10.5"/>
        <rFont val="Roboto Bk"/>
      </rPr>
      <t>Some devices do not report the FastIO cable connection check result.</t>
    </r>
  </si>
  <si>
    <r>
      <rPr>
        <b/>
        <sz val="10.5"/>
        <rFont val="Roboto Bk"/>
      </rPr>
      <t>Battery cluster Fast IO test failed</t>
    </r>
  </si>
  <si>
    <r>
      <rPr>
        <b/>
        <sz val="10.5"/>
        <rFont val="Roboto Bk"/>
      </rPr>
      <t>There are devices that do not report the battery cluster cable connection detection result.</t>
    </r>
  </si>
  <si>
    <r>
      <rPr>
        <b/>
        <sz val="10.5"/>
        <rFont val="Roboto Bk"/>
      </rPr>
      <t>Battery cluster input test failed</t>
    </r>
  </si>
  <si>
    <r>
      <rPr>
        <b/>
        <sz val="10.5"/>
        <rFont val="Roboto Bk"/>
      </rPr>
      <t>The meter communication is abnormal.</t>
    </r>
  </si>
  <si>
    <r>
      <rPr>
        <b/>
        <sz val="10.5"/>
        <rFont val="Roboto Bk"/>
      </rPr>
      <t>Southbou nd device communi cation is abnormal.</t>
    </r>
  </si>
  <si>
    <r>
      <rPr>
        <b/>
        <sz val="10.5"/>
        <rFont val="Roboto Bk"/>
      </rPr>
      <t>The connected ESS does not support the  configured control mode (TOU, maximum self- consumption, power boost limit, or peak shaving).</t>
    </r>
  </si>
  <si>
    <r>
      <rPr>
        <b/>
        <sz val="10.5"/>
        <rFont val="Roboto Bk"/>
      </rPr>
      <t xml:space="preserve">ESS
</t>
    </r>
    <r>
      <rPr>
        <b/>
        <sz val="10.5"/>
        <rFont val="Roboto Bk"/>
      </rPr>
      <t>Control Abnormal</t>
    </r>
  </si>
  <si>
    <r>
      <rPr>
        <b/>
        <sz val="10.5"/>
        <rFont val="Roboto Bk"/>
      </rPr>
      <t>Current limit control abnormality</t>
    </r>
  </si>
  <si>
    <r>
      <rPr>
        <b/>
        <sz val="10.5"/>
        <rFont val="Roboto Bk"/>
      </rPr>
      <t>Power Control Abnormal at Grid Connectio n Point</t>
    </r>
  </si>
  <si>
    <r>
      <rPr>
        <b/>
        <sz val="10.5"/>
        <rFont val="Roboto Bk"/>
      </rPr>
      <t>The ambient temperature is too high, and the fan in the communication box is faulty.</t>
    </r>
  </si>
  <si>
    <r>
      <rPr>
        <b/>
        <sz val="10.5"/>
        <rFont val="Roboto Bk"/>
      </rPr>
      <t>The temperat ure inside the communi cations cabinet is too high.</t>
    </r>
  </si>
  <si>
    <r>
      <rPr>
        <b/>
        <sz val="10.5"/>
        <rFont val="Roboto Bk"/>
      </rPr>
      <t>The communication between the Logger and the PPC/NMS is abnormal, which triggers the shutdown due to an array fault.</t>
    </r>
  </si>
  <si>
    <r>
      <rPr>
        <b/>
        <sz val="10.5"/>
        <rFont val="Roboto Bk"/>
      </rPr>
      <t>Array fault shutdown</t>
    </r>
  </si>
  <si>
    <r>
      <rPr>
        <b/>
        <sz val="10.5"/>
        <rFont val="Roboto Bk"/>
      </rPr>
      <t>The average ESS SOC is lower than the minimum SOC required for the black start.</t>
    </r>
  </si>
  <si>
    <r>
      <rPr>
        <b/>
        <sz val="10.5"/>
        <rFont val="Roboto Bk"/>
      </rPr>
      <t>System Black Start Failed</t>
    </r>
  </si>
  <si>
    <r>
      <rPr>
        <b/>
        <sz val="10.5"/>
        <rFont val="Roboto Bk"/>
      </rPr>
      <t>Failed to adjust the power during the switching from on-grid to off-grid.</t>
    </r>
  </si>
  <si>
    <r>
      <rPr>
        <b/>
        <sz val="10.5"/>
        <rFont val="Roboto Bk"/>
      </rPr>
      <t>Adjustme nt Failed During On/Off- grid Switching</t>
    </r>
  </si>
  <si>
    <r>
      <rPr>
        <b/>
        <sz val="10.5"/>
        <rFont val="Roboto Bk"/>
      </rPr>
      <t>Failed to synchronize parameters during the switching from off-grid to on-grid.</t>
    </r>
  </si>
  <si>
    <r>
      <rPr>
        <b/>
        <sz val="10.5"/>
        <rFont val="Roboto Bk"/>
      </rPr>
      <t>Failed to stop the genset through the dry contact.</t>
    </r>
  </si>
  <si>
    <r>
      <rPr>
        <b/>
        <sz val="10.5"/>
        <rFont val="Roboto Bk"/>
      </rPr>
      <t>Genset Control Failed</t>
    </r>
  </si>
  <si>
    <r>
      <rPr>
        <b/>
        <sz val="10.5"/>
        <rFont val="Roboto Bk"/>
      </rPr>
      <t>Failed to start up the genset through the dry contact.</t>
    </r>
  </si>
  <si>
    <r>
      <rPr>
        <b/>
        <sz val="10.5"/>
        <rFont val="Roboto Bk"/>
      </rPr>
      <t>Failed to turn on the load switch.</t>
    </r>
  </si>
  <si>
    <r>
      <rPr>
        <b/>
        <sz val="10.5"/>
        <rFont val="Roboto Bk"/>
      </rPr>
      <t>Load Switch Control Failed</t>
    </r>
  </si>
  <si>
    <r>
      <rPr>
        <b/>
        <sz val="10.5"/>
        <rFont val="Roboto Bk"/>
      </rPr>
      <t>Failed to turn off the load switch.</t>
    </r>
  </si>
  <si>
    <r>
      <rPr>
        <b/>
        <sz val="10.5"/>
        <rFont val="Roboto Bk"/>
      </rPr>
      <t>The system-to-ground insulation capability of the system has decreased.</t>
    </r>
  </si>
  <si>
    <r>
      <rPr>
        <b/>
        <sz val="10.5"/>
        <rFont val="Roboto Bk"/>
      </rPr>
      <t xml:space="preserve">The system- to-ground insulation capability of the system has decreased
</t>
    </r>
    <r>
      <rPr>
        <b/>
        <sz val="10.5"/>
        <rFont val="Roboto Bk"/>
      </rPr>
      <t>.</t>
    </r>
  </si>
  <si>
    <r>
      <rPr>
        <b/>
        <sz val="10.5"/>
        <rFont val="Roboto Bk"/>
      </rPr>
      <t>Third-party relay protection synchronization check failed.</t>
    </r>
  </si>
  <si>
    <r>
      <rPr>
        <b/>
        <sz val="10.5"/>
        <rFont val="Roboto Bk"/>
      </rPr>
      <t>Switch Control Failed at Grid Connectio n Point</t>
    </r>
  </si>
  <si>
    <r>
      <rPr>
        <b/>
        <sz val="10.5"/>
        <rFont val="Roboto Bk"/>
      </rPr>
      <t>Failed to turn on the switch through the relay protection device.</t>
    </r>
  </si>
  <si>
    <r>
      <rPr>
        <b/>
        <sz val="10.5"/>
        <rFont val="Roboto Bk"/>
      </rPr>
      <t>Failed to turn off the switch through the relay protection device.</t>
    </r>
  </si>
  <si>
    <r>
      <rPr>
        <b/>
        <sz val="10.5"/>
        <rFont val="Roboto Bk"/>
      </rPr>
      <t>Failed to turn on the dry contact.</t>
    </r>
  </si>
  <si>
    <r>
      <rPr>
        <b/>
        <sz val="10.5"/>
        <rFont val="Roboto Bk"/>
      </rPr>
      <t>Failed to turn off the dry contact.</t>
    </r>
  </si>
  <si>
    <r>
      <rPr>
        <b/>
        <sz val="10.5"/>
        <rFont val="Roboto Bk"/>
      </rPr>
      <t>Array PCS Shutdown Triggered by BMS Communication Disconnection</t>
    </r>
  </si>
  <si>
    <r>
      <rPr>
        <b/>
        <sz val="10.5"/>
        <rFont val="Roboto Bk"/>
      </rPr>
      <t>The STS is switched off, and the ESS shutdown protection is triggered.</t>
    </r>
  </si>
  <si>
    <r>
      <rPr>
        <b/>
        <sz val="10.5"/>
        <rFont val="Roboto Bk"/>
      </rPr>
      <t>The PV array PCS shuts down due to a dry contact fault in the battery compartment or a startup disallowed command sent by the BMS.</t>
    </r>
  </si>
  <si>
    <r>
      <rPr>
        <b/>
        <sz val="10.5"/>
        <rFont val="Roboto Bk"/>
      </rPr>
      <t>The medium-voltage side or low-voltage side of the STS is switched off, causing the shutdown of PCSs and ESS devices in the PV array.</t>
    </r>
  </si>
  <si>
    <r>
      <rPr>
        <b/>
        <sz val="10.5"/>
        <rFont val="Roboto Bk"/>
      </rPr>
      <t>The black start of the PCS failed.</t>
    </r>
  </si>
  <si>
    <r>
      <rPr>
        <b/>
        <sz val="10.5"/>
        <rFont val="Roboto Bk"/>
      </rPr>
      <t>Array Black Start Failed</t>
    </r>
  </si>
  <si>
    <r>
      <rPr>
        <b/>
        <sz val="10.5"/>
        <rFont val="Roboto Bk"/>
      </rPr>
      <t>No available PCS.</t>
    </r>
  </si>
  <si>
    <r>
      <rPr>
        <b/>
        <sz val="10.5"/>
        <rFont val="Roboto Bk"/>
      </rPr>
      <t>The black start of the ESS failed.</t>
    </r>
  </si>
  <si>
    <r>
      <rPr>
        <b/>
        <sz val="10.5"/>
        <rFont val="Roboto Bk"/>
      </rPr>
      <t>The PCS does not support black start.</t>
    </r>
  </si>
  <si>
    <r>
      <rPr>
        <b/>
        <sz val="10.5"/>
        <rFont val="Roboto Bk"/>
      </rPr>
      <t>The ESS does not support black start.</t>
    </r>
  </si>
  <si>
    <r>
      <rPr>
        <b/>
        <sz val="10.5"/>
        <rFont val="Roboto Bk"/>
      </rPr>
      <t>No available ESS.</t>
    </r>
  </si>
  <si>
    <r>
      <rPr>
        <b/>
        <sz val="10.5"/>
        <rFont val="Roboto Bk"/>
      </rPr>
      <t>The array running status does not meet the condition for a black start.</t>
    </r>
  </si>
  <si>
    <r>
      <rPr>
        <b/>
        <sz val="10.5"/>
        <rFont val="Roboto Bk"/>
      </rPr>
      <t>The black start command is not delivered in the correct time sequence.</t>
    </r>
  </si>
  <si>
    <r>
      <rPr>
        <b/>
        <sz val="10.5"/>
        <rFont val="Roboto Bk"/>
      </rPr>
      <t>The license capacity of the SDS is insufficient.</t>
    </r>
  </si>
  <si>
    <r>
      <rPr>
        <b/>
        <sz val="10.5"/>
        <rFont val="Roboto Bk"/>
      </rPr>
      <t>Insufficie nt SDS License Capacity</t>
    </r>
  </si>
  <si>
    <r>
      <rPr>
        <b/>
        <sz val="10.5"/>
        <rFont val="Roboto Bk"/>
      </rPr>
      <t>One or two cables of a Smart PCS are not connected to the DC bus.</t>
    </r>
  </si>
  <si>
    <r>
      <rPr>
        <b/>
        <sz val="10.5"/>
        <rFont val="Roboto Bk"/>
      </rPr>
      <t xml:space="preserve">One or Two Smart PCS
</t>
    </r>
    <r>
      <rPr>
        <b/>
        <sz val="10.5"/>
        <rFont val="Roboto Bk"/>
      </rPr>
      <t>Cables Not Connecte d to DC Bus</t>
    </r>
  </si>
  <si>
    <r>
      <rPr>
        <b/>
        <sz val="10.5"/>
        <rFont val="Roboto Bk"/>
      </rPr>
      <t>One or more trackers in the array are not controlled by the smart tracking algorithm.</t>
    </r>
  </si>
  <si>
    <r>
      <rPr>
        <b/>
        <sz val="10.5"/>
        <rFont val="Roboto Bk"/>
      </rPr>
      <t>Smart Tracker Out of Control</t>
    </r>
  </si>
  <si>
    <r>
      <rPr>
        <b/>
        <sz val="10.5"/>
        <rFont val="Roboto Bk"/>
      </rPr>
      <t>One or two cables of a Smart Rack Controller are not connected to the DC bus.</t>
    </r>
  </si>
  <si>
    <r>
      <rPr>
        <b/>
        <sz val="10.5"/>
        <rFont val="Roboto Bk"/>
      </rPr>
      <t>One or Two Smart Rack Controller Cables Not Connecte d to DC Bus</t>
    </r>
  </si>
  <si>
    <r>
      <rPr>
        <b/>
        <sz val="10.5"/>
        <rFont val="Roboto Bk"/>
      </rPr>
      <t>SmartLog ger Certificate Expired</t>
    </r>
  </si>
  <si>
    <r>
      <rPr>
        <b/>
        <sz val="10.5"/>
        <rFont val="Roboto Bk"/>
      </rPr>
      <t>Warni ng</t>
    </r>
  </si>
  <si>
    <r>
      <rPr>
        <b/>
        <sz val="10.5"/>
        <rFont val="Roboto Bk"/>
      </rPr>
      <t>SmartLogger Certificate About to Expire</t>
    </r>
  </si>
  <si>
    <r>
      <rPr>
        <b/>
        <sz val="10.5"/>
        <rFont val="Roboto Bk"/>
      </rPr>
      <t>SmartLog ger Certificate About to Expire</t>
    </r>
  </si>
  <si>
    <r>
      <rPr>
        <b/>
        <sz val="10.5"/>
        <rFont val="Roboto Bk"/>
      </rPr>
      <t>SmartLogger Certificate Invalid</t>
    </r>
  </si>
  <si>
    <r>
      <rPr>
        <b/>
        <sz val="10.5"/>
        <rFont val="Roboto Bk"/>
      </rPr>
      <t>SmartLog ger Certificate Invalid</t>
    </r>
  </si>
  <si>
    <r>
      <rPr>
        <b/>
        <sz val="10.5"/>
        <rFont val="Roboto Bk"/>
      </rPr>
      <t>Poverty alleviation monitoring center certificate expired</t>
    </r>
  </si>
  <si>
    <r>
      <rPr>
        <b/>
        <sz val="10.5"/>
        <rFont val="Roboto Bk"/>
      </rPr>
      <t xml:space="preserve">ESGCC
</t>
    </r>
    <r>
      <rPr>
        <b/>
        <sz val="10.5"/>
        <rFont val="Roboto Bk"/>
      </rPr>
      <t>Certificate expired</t>
    </r>
  </si>
  <si>
    <r>
      <rPr>
        <b/>
        <sz val="10.5"/>
        <rFont val="Roboto Bk"/>
      </rPr>
      <t>Poverty alleviation monitoring center certificate to expire</t>
    </r>
  </si>
  <si>
    <r>
      <rPr>
        <b/>
        <sz val="10.5"/>
        <rFont val="Roboto Bk"/>
      </rPr>
      <t xml:space="preserve">ESGCC
</t>
    </r>
    <r>
      <rPr>
        <b/>
        <sz val="10.5"/>
        <rFont val="Roboto Bk"/>
      </rPr>
      <t>Certificate to expire</t>
    </r>
  </si>
  <si>
    <r>
      <rPr>
        <b/>
        <sz val="10.5"/>
        <rFont val="Roboto Bk"/>
      </rPr>
      <t>Poverty alleviation monitoring center certificate invalid</t>
    </r>
  </si>
  <si>
    <r>
      <rPr>
        <b/>
        <sz val="10.5"/>
        <rFont val="Roboto Bk"/>
      </rPr>
      <t xml:space="preserve">ESGCC
</t>
    </r>
    <r>
      <rPr>
        <b/>
        <sz val="10.5"/>
        <rFont val="Roboto Bk"/>
      </rPr>
      <t>Certificate invalid</t>
    </r>
  </si>
  <si>
    <r>
      <rPr>
        <b/>
        <sz val="10.5"/>
        <rFont val="Roboto Bk"/>
      </rPr>
      <t>Remote output control certificate expired</t>
    </r>
  </si>
  <si>
    <r>
      <rPr>
        <b/>
        <sz val="10.5"/>
        <rFont val="Roboto Bk"/>
      </rPr>
      <t>Remote Control Certificate expired</t>
    </r>
  </si>
  <si>
    <r>
      <rPr>
        <b/>
        <sz val="10.5"/>
        <rFont val="Roboto Bk"/>
      </rPr>
      <t>Remote output control certificate to expire</t>
    </r>
  </si>
  <si>
    <r>
      <rPr>
        <b/>
        <sz val="10.5"/>
        <rFont val="Roboto Bk"/>
      </rPr>
      <t>Remote Control Certificate to expire</t>
    </r>
  </si>
  <si>
    <r>
      <rPr>
        <b/>
        <sz val="10.5"/>
        <rFont val="Roboto Bk"/>
      </rPr>
      <t>Remote output control certificate invalid</t>
    </r>
  </si>
  <si>
    <r>
      <rPr>
        <b/>
        <sz val="10.5"/>
        <rFont val="Roboto Bk"/>
      </rPr>
      <t>Remote Control Certificate invalid</t>
    </r>
  </si>
  <si>
    <r>
      <rPr>
        <b/>
        <sz val="10.5"/>
        <rFont val="Roboto Bk"/>
      </rPr>
      <t>The digital signature certificate of management system 1 has expired.</t>
    </r>
  </si>
  <si>
    <r>
      <rPr>
        <b/>
        <sz val="10.5"/>
        <rFont val="Roboto Bk"/>
      </rPr>
      <t>Managem ent System Certificate Expired</t>
    </r>
  </si>
  <si>
    <r>
      <rPr>
        <b/>
        <sz val="10.5"/>
        <rFont val="Roboto Bk"/>
      </rPr>
      <t>The digital signature certificate of management system 1 is about to expire.</t>
    </r>
  </si>
  <si>
    <r>
      <rPr>
        <b/>
        <sz val="10.5"/>
        <rFont val="Roboto Bk"/>
      </rPr>
      <t>Managem ent System Certificate to Expire</t>
    </r>
  </si>
  <si>
    <r>
      <rPr>
        <b/>
        <sz val="10.5"/>
        <rFont val="Roboto Bk"/>
      </rPr>
      <t>The digital signature certificate of management system 1 has not taken effect.</t>
    </r>
  </si>
  <si>
    <r>
      <rPr>
        <b/>
        <sz val="10.5"/>
        <rFont val="Roboto Bk"/>
      </rPr>
      <t>Managem ent System Certificate Invalid</t>
    </r>
  </si>
  <si>
    <r>
      <rPr>
        <b/>
        <sz val="10.5"/>
        <rFont val="Roboto Bk"/>
      </rPr>
      <t>SPPC's digital signature certificate Is About to Expire</t>
    </r>
  </si>
  <si>
    <r>
      <rPr>
        <b/>
        <sz val="10.5"/>
        <rFont val="Roboto Bk"/>
      </rPr>
      <t>The management system certificate has expired.</t>
    </r>
  </si>
  <si>
    <r>
      <rPr>
        <b/>
        <sz val="10.5"/>
        <rFont val="Roboto Bk"/>
      </rPr>
      <t>Managem ent system certificate expired</t>
    </r>
  </si>
  <si>
    <r>
      <rPr>
        <b/>
        <sz val="10.5"/>
        <rFont val="Roboto Bk"/>
      </rPr>
      <t>The management system certificate is about to expire.</t>
    </r>
  </si>
  <si>
    <r>
      <rPr>
        <b/>
        <sz val="10.5"/>
        <rFont val="Roboto Bk"/>
      </rPr>
      <t>Managem ent system certificate to expire</t>
    </r>
  </si>
  <si>
    <r>
      <rPr>
        <b/>
        <sz val="10.5"/>
        <rFont val="Roboto Bk"/>
      </rPr>
      <t>The management system certificate is not yet valid.</t>
    </r>
  </si>
  <si>
    <r>
      <rPr>
        <b/>
        <sz val="10.5"/>
        <rFont val="Roboto Bk"/>
      </rPr>
      <t>Managem ent system certificate invalid</t>
    </r>
  </si>
  <si>
    <r>
      <rPr>
        <b/>
        <sz val="10.5"/>
        <rFont val="Roboto Bk"/>
      </rPr>
      <t xml:space="preserve">1. The privilege certificate has entered the grace period.
</t>
    </r>
    <r>
      <rPr>
        <b/>
        <sz val="10.5"/>
        <rFont val="Roboto Bk"/>
      </rPr>
      <t>2. The privilege feature will be invalid soon.</t>
    </r>
  </si>
  <si>
    <r>
      <rPr>
        <b/>
        <sz val="10.5"/>
        <rFont val="Roboto Bk"/>
      </rPr>
      <t>License Expired</t>
    </r>
  </si>
  <si>
    <r>
      <rPr>
        <b/>
        <sz val="10.5"/>
        <rFont val="Roboto Bk"/>
      </rPr>
      <t>WebUI server certificate expired</t>
    </r>
  </si>
  <si>
    <r>
      <rPr>
        <b/>
        <sz val="10.5"/>
        <rFont val="Roboto Bk"/>
      </rPr>
      <t>WebUI server certificate to expire</t>
    </r>
  </si>
  <si>
    <r>
      <rPr>
        <b/>
        <sz val="10.5"/>
        <rFont val="Roboto Bk"/>
      </rPr>
      <t>WebUI server certificate invalid</t>
    </r>
  </si>
  <si>
    <r>
      <rPr>
        <b/>
        <sz val="10.5"/>
        <rFont val="Roboto Bk"/>
      </rPr>
      <t>Communication box 24V power failure</t>
    </r>
  </si>
  <si>
    <r>
      <rPr>
        <b/>
        <sz val="10.5"/>
        <rFont val="Roboto Bk"/>
      </rPr>
      <t xml:space="preserve">24V
</t>
    </r>
    <r>
      <rPr>
        <b/>
        <sz val="10.5"/>
        <rFont val="Roboto Bk"/>
      </rPr>
      <t>power failure</t>
    </r>
  </si>
  <si>
    <r>
      <rPr>
        <b/>
        <sz val="10.5"/>
        <rFont val="Roboto Bk"/>
      </rPr>
      <t>Communication box SPD fault</t>
    </r>
  </si>
  <si>
    <r>
      <rPr>
        <b/>
        <sz val="10.5"/>
        <rFont val="Roboto Bk"/>
      </rPr>
      <t xml:space="preserve">AC SPD
</t>
    </r>
    <r>
      <rPr>
        <b/>
        <sz val="10.5"/>
        <rFont val="Roboto Bk"/>
      </rPr>
      <t>fault</t>
    </r>
  </si>
  <si>
    <r>
      <rPr>
        <b/>
        <sz val="10.5"/>
        <rFont val="Roboto Bk"/>
      </rPr>
      <t>The address set on the SmartLogger conflicts with an existing access device address.</t>
    </r>
  </si>
  <si>
    <r>
      <rPr>
        <b/>
        <sz val="10.5"/>
        <rFont val="Roboto Bk"/>
      </rPr>
      <t>Device Address Conflict</t>
    </r>
  </si>
  <si>
    <r>
      <rPr>
        <b/>
        <sz val="10.5"/>
        <rFont val="Roboto Bk"/>
      </rPr>
      <t>The Cubicle device has detected an exception at the grid-connection point.</t>
    </r>
  </si>
  <si>
    <r>
      <rPr>
        <b/>
        <sz val="10.5"/>
        <rFont val="Roboto Bk"/>
      </rPr>
      <t>Abnormal Cubicle</t>
    </r>
  </si>
  <si>
    <r>
      <rPr>
        <b/>
        <sz val="10.5"/>
        <rFont val="Roboto Bk"/>
      </rPr>
      <t>The general AC circuit breaker at the grid- connection point is OFF.</t>
    </r>
  </si>
  <si>
    <r>
      <rPr>
        <b/>
        <sz val="10.5"/>
        <rFont val="Roboto Bk"/>
      </rPr>
      <t xml:space="preserve">MCB
</t>
    </r>
    <r>
      <rPr>
        <b/>
        <sz val="10.5"/>
        <rFont val="Roboto Bk"/>
      </rPr>
      <t>Disconnec t</t>
    </r>
  </si>
  <si>
    <r>
      <rPr>
        <b/>
        <sz val="10.5"/>
        <rFont val="Roboto Bk"/>
      </rPr>
      <t>In remote reactive power scheduling mode, the Logger cannot receive reactive power scheduling commands or the received commands are abnormal.</t>
    </r>
  </si>
  <si>
    <r>
      <rPr>
        <b/>
        <sz val="10.5"/>
        <rFont val="Roboto Bk"/>
      </rPr>
      <t>Abnormal Reactive Schedule</t>
    </r>
  </si>
  <si>
    <t>Major</t>
  </si>
  <si>
    <r>
      <rPr>
        <b/>
        <sz val="10.5"/>
        <rFont val="Roboto Bk"/>
      </rPr>
      <t xml:space="preserve">If </t>
    </r>
    <r>
      <rPr>
        <b/>
        <sz val="10.5"/>
        <rFont val="Roboto"/>
      </rPr>
      <t xml:space="preserve">Reactive Power Control Mode </t>
    </r>
    <r>
      <rPr>
        <b/>
        <sz val="10.5"/>
        <rFont val="Roboto Bk"/>
      </rPr>
      <t xml:space="preserve">is set to </t>
    </r>
    <r>
      <rPr>
        <b/>
        <sz val="10.5"/>
        <rFont val="Roboto"/>
      </rPr>
      <t>Dry contact remote control</t>
    </r>
    <r>
      <rPr>
        <b/>
        <sz val="10.5"/>
        <rFont val="Roboto Bk"/>
      </rPr>
      <t>, the four DI ports read instruction combinations not configured.</t>
    </r>
  </si>
  <si>
    <r>
      <rPr>
        <b/>
        <sz val="10.5"/>
        <rFont val="Roboto Bk"/>
      </rPr>
      <t>In remote communication scheduling mode, the Logger cannot receive active power scheduling commands or the received active power scheduling commands are abnormal.</t>
    </r>
  </si>
  <si>
    <r>
      <rPr>
        <b/>
        <sz val="10.5"/>
        <rFont val="Roboto Bk"/>
      </rPr>
      <t>Abnormal Active Schedule</t>
    </r>
  </si>
  <si>
    <r>
      <rPr>
        <b/>
        <sz val="10.5"/>
        <rFont val="Roboto"/>
      </rPr>
      <t>Bi t</t>
    </r>
  </si>
  <si>
    <r>
      <rPr>
        <b/>
        <sz val="10.5"/>
        <rFont val="Roboto"/>
      </rPr>
      <t>Regist er Addre ss</t>
    </r>
  </si>
  <si>
    <r>
      <rPr>
        <b/>
        <sz val="10.5"/>
        <rFont val="Roboto"/>
      </rPr>
      <t>Severi ty</t>
    </r>
  </si>
  <si>
    <r>
      <rPr>
        <b/>
        <sz val="10.5"/>
        <rFont val="Roboto"/>
      </rPr>
      <t>Alarm Cause</t>
    </r>
  </si>
  <si>
    <r>
      <rPr>
        <b/>
        <sz val="10.5"/>
        <rFont val="Roboto"/>
      </rPr>
      <t>Alar m Sub- ID</t>
    </r>
  </si>
  <si>
    <r>
      <rPr>
        <b/>
        <sz val="10.5"/>
        <rFont val="Roboto"/>
      </rPr>
      <t>Alarm Name</t>
    </r>
  </si>
  <si>
    <t>Alarm ID</t>
  </si>
  <si>
    <t>Alarm Of Smart  Logger</t>
  </si>
  <si>
    <t>SmartLogger Certificate Expired</t>
  </si>
  <si>
    <r>
      <rPr>
        <sz val="14"/>
        <rFont val="Calibri"/>
        <family val="2"/>
        <scheme val="minor"/>
      </rPr>
      <t>-180.00…
180.00 [deg]</t>
    </r>
  </si>
  <si>
    <t>Angle UAB-IC(1)</t>
  </si>
  <si>
    <t>i16</t>
  </si>
  <si>
    <t>Angle UCA-IB(1)</t>
  </si>
  <si>
    <t>Angle UBC-IA(1)</t>
  </si>
  <si>
    <t>0.000...4.000 [×Un]</t>
  </si>
  <si>
    <t>Voltage Ng-Seq(2)</t>
  </si>
  <si>
    <t>u16</t>
  </si>
  <si>
    <t>Voltage Ps-Seq(2)</t>
  </si>
  <si>
    <t>Voltage Zro-Seq(2)</t>
  </si>
  <si>
    <t>Voltage Uo(2)</t>
  </si>
  <si>
    <t>Voltage phs CA(2)</t>
  </si>
  <si>
    <t>Voltage phs BC(2)</t>
  </si>
  <si>
    <t>Voltage phs AB(2)</t>
  </si>
  <si>
    <t>Voltage phs C(2)</t>
  </si>
  <si>
    <t>Voltage phs B(2)</t>
  </si>
  <si>
    <t>Voltage phs A(2)</t>
  </si>
  <si>
    <r>
      <rPr>
        <sz val="14"/>
        <rFont val="Calibri"/>
        <family val="2"/>
        <scheme val="minor"/>
      </rPr>
      <t>0.000…
50.000 [×In]</t>
    </r>
  </si>
  <si>
    <t>Current Ng-Seq(2)</t>
  </si>
  <si>
    <t>Current Ps-Seq(2)</t>
  </si>
  <si>
    <t>Current Io-Calc(2)</t>
  </si>
  <si>
    <t>Current Io(2)</t>
  </si>
  <si>
    <t>Current phs C(2)</t>
  </si>
  <si>
    <t>Current phs B(2)</t>
  </si>
  <si>
    <t>Current phs A(2)</t>
  </si>
  <si>
    <r>
      <rPr>
        <sz val="14"/>
        <rFont val="Calibri"/>
        <family val="2"/>
        <scheme val="minor"/>
      </rPr>
      <t>0.000...3.000
[s]</t>
    </r>
  </si>
  <si>
    <t>Breaker clear time</t>
  </si>
  <si>
    <r>
      <rPr>
        <sz val="14"/>
        <rFont val="Calibri"/>
        <family val="2"/>
        <scheme val="minor"/>
      </rPr>
      <t>-1000.00...10
00.00 [ohm]</t>
    </r>
  </si>
  <si>
    <t>Fault loop reactance</t>
  </si>
  <si>
    <t>i32</t>
  </si>
  <si>
    <t>Fault loop resistance</t>
  </si>
  <si>
    <r>
      <rPr>
        <sz val="14"/>
        <rFont val="Calibri"/>
        <family val="2"/>
        <scheme val="minor"/>
      </rPr>
      <t>-1000.00...10
00.00 [mS]</t>
    </r>
  </si>
  <si>
    <t>Susceptance Yo</t>
  </si>
  <si>
    <t>Conductance Yo</t>
  </si>
  <si>
    <r>
      <rPr>
        <sz val="14"/>
        <rFont val="Calibri"/>
        <family val="2"/>
        <scheme val="minor"/>
      </rPr>
      <t>-10.00...10.0
0 [Hz/s]</t>
    </r>
  </si>
  <si>
    <t>Frequency gradient</t>
  </si>
  <si>
    <t>0.00...999.99 [%]</t>
  </si>
  <si>
    <t>PDNSPTOC1 ratio I2/I1</t>
  </si>
  <si>
    <t>0.00...99.99</t>
  </si>
  <si>
    <t>PTTR thermal level</t>
  </si>
  <si>
    <t>Voltage Ng-Seq(1)</t>
  </si>
  <si>
    <t>Voltage Ps-Seq(1)</t>
  </si>
  <si>
    <t>Voltage Zro-Seq(1)</t>
  </si>
  <si>
    <t>Voltage Uo(1)</t>
  </si>
  <si>
    <t>Voltage phs CA(1)</t>
  </si>
  <si>
    <t>Voltage phs BC(1)</t>
  </si>
  <si>
    <t>Voltage phs AB(1)</t>
  </si>
  <si>
    <t>Voltage phs C(1)</t>
  </si>
  <si>
    <t>Voltage phs B(1)</t>
  </si>
  <si>
    <t>Voltage phs A(1)</t>
  </si>
  <si>
    <t>Current Ng-Seq(1)</t>
  </si>
  <si>
    <t>Current Ps-Seq(1)</t>
  </si>
  <si>
    <t>Current Io-Calc(1)</t>
  </si>
  <si>
    <t>Current Io(1)</t>
  </si>
  <si>
    <t>Current phs C(1)</t>
  </si>
  <si>
    <t>Current phs B(1)</t>
  </si>
  <si>
    <t>Current phs A(1)</t>
  </si>
  <si>
    <t>Max. current Io(1)</t>
  </si>
  <si>
    <t>Max. current phs C(1)</t>
  </si>
  <si>
    <t>Max. current phs B(1)</t>
  </si>
  <si>
    <t>Max. current phs A(1)</t>
  </si>
  <si>
    <r>
      <rPr>
        <sz val="14"/>
        <rFont val="Calibri"/>
        <family val="2"/>
        <scheme val="minor"/>
      </rPr>
      <t>0.000…
50.000 [pu]</t>
    </r>
  </si>
  <si>
    <t>Bias current Io</t>
  </si>
  <si>
    <r>
      <rPr>
        <sz val="14"/>
        <rFont val="Calibri"/>
        <family val="2"/>
        <scheme val="minor"/>
      </rPr>
      <t>0.000...80.00
0 [pu]</t>
    </r>
  </si>
  <si>
    <t>Diff. current Io</t>
  </si>
  <si>
    <t>Bias current phs C</t>
  </si>
  <si>
    <t>Bias current phs B</t>
  </si>
  <si>
    <t>Bias current phs A</t>
  </si>
  <si>
    <t>Diff. current phs C</t>
  </si>
  <si>
    <t>Diff. current phs B</t>
  </si>
  <si>
    <t>Diff. current phs A</t>
  </si>
  <si>
    <t>Max. bias current phs C</t>
  </si>
  <si>
    <t>Max. bias current phs B</t>
  </si>
  <si>
    <t>Max. bias current phs A</t>
  </si>
  <si>
    <t>Max. diff. current phs C</t>
  </si>
  <si>
    <t>Max. diff. current phs B</t>
  </si>
  <si>
    <t>Max. diff. current phs A</t>
  </si>
  <si>
    <t>0...7</t>
  </si>
  <si>
    <t>AR shot pointer value</t>
  </si>
  <si>
    <t>1…6</t>
  </si>
  <si>
    <t>Active setting group</t>
  </si>
  <si>
    <r>
      <rPr>
        <sz val="14"/>
        <rFont val="Calibri"/>
        <family val="2"/>
        <scheme val="minor"/>
      </rPr>
      <t>0.00…
9999.99 pu</t>
    </r>
  </si>
  <si>
    <t>Fault distance</t>
  </si>
  <si>
    <t>u32</t>
  </si>
  <si>
    <r>
      <rPr>
        <sz val="14"/>
        <rFont val="Calibri"/>
        <family val="2"/>
        <scheme val="minor"/>
      </rPr>
      <t>0.00…
1000000.00
ohms</t>
    </r>
  </si>
  <si>
    <t>Fault resistance</t>
  </si>
  <si>
    <r>
      <rPr>
        <sz val="14"/>
        <rFont val="Calibri"/>
        <family val="2"/>
        <scheme val="minor"/>
      </rPr>
      <t>0...999999.99
9</t>
    </r>
  </si>
  <si>
    <t>Operate time [ms] (high)</t>
  </si>
  <si>
    <r>
      <rPr>
        <sz val="14"/>
        <rFont val="Calibri"/>
        <family val="2"/>
        <scheme val="minor"/>
      </rPr>
      <t>0   100.00 [%]</t>
    </r>
  </si>
  <si>
    <t>Start duration</t>
  </si>
  <si>
    <t>30…80.00 [Hz]</t>
  </si>
  <si>
    <r>
      <rPr>
        <sz val="14"/>
        <rFont val="Calibri"/>
        <family val="2"/>
        <scheme val="minor"/>
      </rPr>
      <t>-32768...327
67</t>
    </r>
  </si>
  <si>
    <t>Protection function</t>
  </si>
  <si>
    <t>0..999999</t>
  </si>
  <si>
    <t>Fault record number (high)</t>
  </si>
  <si>
    <t>Fault record data</t>
  </si>
  <si>
    <t>Values</t>
  </si>
  <si>
    <t>Description</t>
  </si>
  <si>
    <t>Scale</t>
  </si>
  <si>
    <t>Type</t>
  </si>
  <si>
    <t>Fault record data Of Protection Realy</t>
  </si>
  <si>
    <t>LOW_ALARM</t>
  </si>
  <si>
    <t>LOW_WARN</t>
  </si>
  <si>
    <t>HIGH_WARN</t>
  </si>
  <si>
    <t>HIGH_ALARM</t>
  </si>
  <si>
    <t>Three-phase voltage measurement (1)</t>
  </si>
  <si>
    <t>Voltage total harmonic distortion (1)</t>
  </si>
  <si>
    <t>Trip circuit supervision (2</t>
  </si>
  <si>
    <t>Trip circuit supervision (1</t>
  </si>
  <si>
    <t>Three-phase thermal protection for feeders, cables and distribution transformers (1)</t>
  </si>
  <si>
    <t>CB lifetime alarm</t>
  </si>
  <si>
    <t>Low pressure alarm</t>
  </si>
  <si>
    <t>CB inactive alarm</t>
  </si>
  <si>
    <t>CB operations alarm</t>
  </si>
  <si>
    <t>Spring charge alarm</t>
  </si>
  <si>
    <t>Cls travel time alarm</t>
  </si>
  <si>
    <t>Opn travel time alarm</t>
  </si>
  <si>
    <t>Circuit-breaker condition monitoring (1</t>
  </si>
  <si>
    <t>Residual voltage measurement (1</t>
  </si>
  <si>
    <t>Residual current measurement (1</t>
  </si>
  <si>
    <t>Three-phase current measurement (1</t>
  </si>
  <si>
    <t>Current total demand distortion (1)</t>
  </si>
  <si>
    <t>Current circuit supervision (1)</t>
  </si>
  <si>
    <t>Bit A</t>
  </si>
  <si>
    <t>Message</t>
  </si>
  <si>
    <t>Alarm Of Protection Realy</t>
  </si>
  <si>
    <t>Vendor</t>
  </si>
  <si>
    <t>IEC 61131-3; IEC 61158 / IEC 61784</t>
  </si>
  <si>
    <t>Trend screenshots, historian log/export (if available).</t>
  </si>
  <si>
    <t>Trend/historian shows correct values for the test period.</t>
  </si>
  <si>
    <t>Change analog values and DI states for a short period. Open trends/historian screen and verify data recording.</t>
  </si>
  <si>
    <t>Historian / Trends Quick Check</t>
  </si>
  <si>
    <t>Both</t>
  </si>
  <si>
    <t>IEC 62682; IEC 61131-3</t>
  </si>
  <si>
    <t>Alarm/event log export, screenshots.</t>
  </si>
  <si>
    <t>Alarms/events appear correctly with correct time stamp. Acknowledge/clear works (if applicable).</t>
  </si>
  <si>
    <t>Generate alarms using Modbus status bits and/or ET-200S DI signals. Verify alarm display, time stamp, and acknowledge/clear (if included).</t>
  </si>
  <si>
    <t>Alarms &amp; Events Test</t>
  </si>
  <si>
    <t>IEC 61158 / IEC 61784; Modbus Application Protocol (non-IEC)</t>
  </si>
  <si>
    <t>Event/alarm log, screenshot, FAT log.</t>
  </si>
  <si>
    <t>Communication alarm/indication appears on disconnection. Data returns correctly after reconnection.</t>
  </si>
  <si>
    <t>Stop simulator / disconnect network, then reconnect. Observe HMI behavior.</t>
  </si>
  <si>
    <t>Modbus Communication Loss Test</t>
  </si>
  <si>
    <t>Tag verification sheet, screenshots.</t>
  </si>
  <si>
    <t>All Modbus tags are read correctly. Displayed values match simulator values.</t>
  </si>
  <si>
    <t>Run Modbus Slave simulator with required IP/Port. Create registers based on mapping. Change values (0→1 for bits, different analog values). Verify values on HMI.</t>
  </si>
  <si>
    <t>Modbus TCP Simulation (Modbus Slave)</t>
  </si>
  <si>
    <t>Screenshots, FAT log.</t>
  </si>
  <si>
    <t>HMI loads without errors. Pages open correctly and values are displayed/updated.</t>
  </si>
  <si>
    <t>Start the local web server. Open HMI from client browser. Check screens, navigation, and data refresh.</t>
  </si>
  <si>
    <t>Web Server / HMI Basic Test</t>
  </si>
  <si>
    <t>IEC 60204-1; IEC 61158 / IEC 61784</t>
  </si>
  <si>
    <t>Visual inspection checklist, photos</t>
  </si>
  <si>
    <t>All devices are powered, online, and network communication is stable.</t>
  </si>
  <si>
    <t>FAT Setup &amp; Visual Inspection</t>
  </si>
  <si>
    <t>IEC 61082-1; IEC 61131-3</t>
  </si>
  <si>
    <t>Document check list, version list.</t>
  </si>
  <si>
    <t>All documents are available, correct, and match project scope.</t>
  </si>
  <si>
    <t>Confirm latest approved Signal List/Tag List, Modbus mapping, IP plan, and software versions (Web Server/HMI + PLC).</t>
  </si>
  <si>
    <t>Pre-FAT Check</t>
  </si>
  <si>
    <t>Intervention / Responsible Party</t>
  </si>
  <si>
    <t>IEC Standard Reference</t>
  </si>
  <si>
    <t>Records / Evidence</t>
  </si>
  <si>
    <t>Acceptance Criteria</t>
  </si>
  <si>
    <t>Method / Procedure</t>
  </si>
  <si>
    <t>Test / Activity</t>
  </si>
  <si>
    <t>No.</t>
  </si>
  <si>
    <t>Tests 4 &amp; 5 (Modbus TCP verification; addressing/function codes)</t>
  </si>
  <si>
    <t>https://www.modbus.org/file/secure/modbusprotocolspecification.pdf</t>
  </si>
  <si>
    <t>Modbus Application Protocol Specification V1.1b3 (Modbus Organization)</t>
  </si>
  <si>
    <t>R7</t>
  </si>
  <si>
    <t>Test 6 (alarms/events) + Test 5 (alarm behavior on comm loss)</t>
  </si>
  <si>
    <t>https://webstore.iec.ch/en/publication/65543</t>
  </si>
  <si>
    <t>IEC 62682:2022 — Management of alarm systems for the process industries</t>
  </si>
  <si>
    <t>R6</t>
  </si>
  <si>
    <t>Tests 2, 3, 4, 5, 7 (comm profiles context)</t>
  </si>
  <si>
    <t>https://webstore.iec.ch/en/publication/83454</t>
  </si>
  <si>
    <t>IEC 61784-1-1:2023 — Industrial communication networks – Profiles (CPF 1)</t>
  </si>
  <si>
    <t>R5</t>
  </si>
  <si>
    <t>Tests 2, 3, 4, 5, 7 (industrial comm context)</t>
  </si>
  <si>
    <t>https://webstore.iec.ch/en/publication/66931</t>
  </si>
  <si>
    <t>IEC 61158-1:2023 — Industrial communication networks – Fieldbus specifications (overview)</t>
  </si>
  <si>
    <t>R4</t>
  </si>
  <si>
    <t>Test 2 (power-up, wiring/inspection context)</t>
  </si>
  <si>
    <t>https://webstore.iec.ch/en/publication/26037</t>
  </si>
  <si>
    <t>IEC 60204-1:2016 — Safety of machinery – Electrical equipment of machines</t>
  </si>
  <si>
    <t>R3</t>
  </si>
  <si>
    <t>Tests 1, 3, 6, 7 (PLC application / data handling)</t>
  </si>
  <si>
    <t>https://webstore.iec.ch/en/publication/68533</t>
  </si>
  <si>
    <t>IEC 61131-3:2025 — Programmable controllers – Part 3: Programming languages</t>
  </si>
  <si>
    <t>R2</t>
  </si>
  <si>
    <t>Test 1 (documentation check)</t>
  </si>
  <si>
    <t>https://webstore.iec.ch/en/publication/4469</t>
  </si>
  <si>
    <t>IEC 61082-1:2014 — Preparation of documents used in electrotechnology</t>
  </si>
  <si>
    <t>R1</t>
  </si>
  <si>
    <t>Used In (Tests) / Notes</t>
  </si>
  <si>
    <t>Link</t>
  </si>
  <si>
    <t>Standard / Document</t>
  </si>
  <si>
    <t>Ref ID</t>
  </si>
  <si>
    <t>References</t>
  </si>
  <si>
    <t>Power ON server/PC, PLC/ET-200S, network switch. Check wiring, labeling, and Ethernet connections. Verify connectivity Server ↔ PLC/ET-200S and Server ↔ Modbus Simulator.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</si>
</sst>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Calibri"/>
      <family val="3"/>
      <charset val="134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8"/>
      <name val="等线"/>
      <family val="3"/>
      <charset val="134"/>
    </font>
    <font>
      <sz val="11"/>
      <name val="Cambria"/>
      <family val="1"/>
      <charset val="16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mbria"/>
      <family val="1"/>
      <charset val="161"/>
    </font>
    <font>
      <sz val="14"/>
      <name val="Cambria"/>
      <family val="1"/>
      <charset val="161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Cambria"/>
      <family val="1"/>
      <charset val="16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6"/>
      <name val="Cambria"/>
      <family val="1"/>
      <charset val="161"/>
    </font>
    <font>
      <sz val="22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Roboto Bk"/>
    </font>
    <font>
      <b/>
      <sz val="9.5"/>
      <name val="Roboto"/>
    </font>
    <font>
      <b/>
      <sz val="10.5"/>
      <color rgb="FF000000"/>
      <name val="Roboto Bk"/>
      <family val="2"/>
    </font>
    <font>
      <b/>
      <sz val="10.5"/>
      <name val="Roboto Bk"/>
    </font>
    <font>
      <b/>
      <sz val="10.5"/>
      <name val="Roboto"/>
    </font>
    <font>
      <b/>
      <sz val="14"/>
      <name val="Roboto"/>
    </font>
    <font>
      <b/>
      <sz val="48"/>
      <name val="Roboto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4"/>
      <color rgb="FFFFFFFF"/>
      <name val="Calibri"/>
      <family val="2"/>
    </font>
    <font>
      <sz val="14"/>
      <color theme="10"/>
      <name val="Calibri"/>
      <family val="2"/>
      <scheme val="minor"/>
    </font>
    <font>
      <b/>
      <sz val="18"/>
      <color rgb="FF1F4E7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DDDD"/>
      </patternFill>
    </fill>
    <fill>
      <patternFill patternType="solid">
        <fgColor rgb="FFE5E6E5"/>
      </patternFill>
    </fill>
    <fill>
      <patternFill patternType="solid">
        <fgColor rgb="FF1F4E79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thin">
        <color auto="1"/>
      </top>
      <bottom/>
      <diagonal/>
    </border>
    <border>
      <left/>
      <right style="medium">
        <color rgb="FFFF0000"/>
      </right>
      <top style="thin">
        <color auto="1"/>
      </top>
      <bottom/>
      <diagonal/>
    </border>
    <border>
      <left style="medium">
        <color rgb="FFFF0000"/>
      </left>
      <right/>
      <top style="thin">
        <color auto="1"/>
      </top>
      <bottom style="medium">
        <color rgb="FFFF0000"/>
      </bottom>
      <diagonal/>
    </border>
    <border>
      <left/>
      <right style="medium">
        <color rgb="FFFF0000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0" fillId="0" borderId="0"/>
    <xf numFmtId="0" fontId="33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8" fillId="5" borderId="0" xfId="0" applyFont="1" applyFill="1" applyAlignment="1">
      <alignment horizontal="center"/>
    </xf>
    <xf numFmtId="0" fontId="8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8" fillId="5" borderId="0" xfId="0" applyFont="1" applyFill="1"/>
    <xf numFmtId="0" fontId="6" fillId="7" borderId="16" xfId="0" applyFont="1" applyFill="1" applyBorder="1" applyAlignment="1">
      <alignment horizontal="center" vertical="center"/>
    </xf>
    <xf numFmtId="0" fontId="6" fillId="7" borderId="16" xfId="0" quotePrefix="1" applyFont="1" applyFill="1" applyBorder="1" applyAlignment="1">
      <alignment horizontal="center" vertical="center"/>
    </xf>
    <xf numFmtId="0" fontId="16" fillId="0" borderId="0" xfId="0" applyFont="1"/>
    <xf numFmtId="0" fontId="10" fillId="8" borderId="15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7" fillId="5" borderId="0" xfId="0" applyFont="1" applyFill="1"/>
    <xf numFmtId="0" fontId="17" fillId="5" borderId="0" xfId="0" applyFont="1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8" fillId="9" borderId="0" xfId="0" applyFont="1" applyFill="1"/>
    <xf numFmtId="0" fontId="18" fillId="8" borderId="15" xfId="0" applyFont="1" applyFill="1" applyBorder="1" applyAlignment="1">
      <alignment horizontal="center" vertical="center"/>
    </xf>
    <xf numFmtId="0" fontId="18" fillId="8" borderId="16" xfId="0" applyFont="1" applyFill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9" fillId="0" borderId="0" xfId="0" applyFont="1"/>
    <xf numFmtId="0" fontId="20" fillId="0" borderId="0" xfId="3" applyAlignment="1">
      <alignment horizontal="left" vertical="top"/>
    </xf>
    <xf numFmtId="0" fontId="20" fillId="0" borderId="0" xfId="3" applyAlignment="1">
      <alignment horizontal="left" vertical="top" wrapText="1"/>
    </xf>
    <xf numFmtId="0" fontId="20" fillId="0" borderId="0" xfId="3" applyAlignment="1">
      <alignment horizontal="left" vertical="center" wrapText="1"/>
    </xf>
    <xf numFmtId="0" fontId="20" fillId="0" borderId="0" xfId="3" applyAlignment="1">
      <alignment horizontal="left" wrapText="1"/>
    </xf>
    <xf numFmtId="0" fontId="21" fillId="0" borderId="0" xfId="3" applyFont="1" applyAlignment="1">
      <alignment horizontal="left" vertical="top" wrapText="1" indent="2"/>
    </xf>
    <xf numFmtId="0" fontId="22" fillId="0" borderId="0" xfId="3" applyFont="1" applyAlignment="1">
      <alignment horizontal="left" vertical="center" wrapText="1" indent="3"/>
    </xf>
    <xf numFmtId="1" fontId="23" fillId="0" borderId="17" xfId="3" applyNumberFormat="1" applyFont="1" applyBorder="1" applyAlignment="1">
      <alignment horizontal="left" vertical="top" shrinkToFit="1"/>
    </xf>
    <xf numFmtId="0" fontId="25" fillId="10" borderId="17" xfId="3" applyFont="1" applyFill="1" applyBorder="1" applyAlignment="1">
      <alignment horizontal="left" vertical="top" wrapText="1"/>
    </xf>
    <xf numFmtId="0" fontId="26" fillId="10" borderId="17" xfId="3" applyFont="1" applyFill="1" applyBorder="1" applyAlignment="1">
      <alignment horizontal="left" vertical="top" wrapText="1"/>
    </xf>
    <xf numFmtId="0" fontId="28" fillId="0" borderId="17" xfId="3" applyFont="1" applyBorder="1" applyAlignment="1">
      <alignment horizontal="left" vertical="top" wrapText="1" indent="1"/>
    </xf>
    <xf numFmtId="0" fontId="29" fillId="0" borderId="17" xfId="3" applyFont="1" applyBorder="1" applyAlignment="1">
      <alignment horizontal="left" vertical="top" wrapText="1" indent="1"/>
    </xf>
    <xf numFmtId="0" fontId="29" fillId="0" borderId="17" xfId="3" applyFont="1" applyBorder="1" applyAlignment="1">
      <alignment horizontal="right" vertical="top" wrapText="1" indent="2"/>
    </xf>
    <xf numFmtId="1" fontId="28" fillId="0" borderId="17" xfId="3" applyNumberFormat="1" applyFont="1" applyBorder="1" applyAlignment="1">
      <alignment horizontal="left" vertical="top" indent="1" shrinkToFit="1"/>
    </xf>
    <xf numFmtId="0" fontId="29" fillId="0" borderId="17" xfId="3" applyFont="1" applyBorder="1" applyAlignment="1">
      <alignment horizontal="right" vertical="top" wrapText="1" indent="3"/>
    </xf>
    <xf numFmtId="0" fontId="28" fillId="0" borderId="17" xfId="3" applyFont="1" applyBorder="1" applyAlignment="1">
      <alignment horizontal="left" wrapText="1"/>
    </xf>
    <xf numFmtId="0" fontId="30" fillId="11" borderId="17" xfId="3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3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20" fontId="4" fillId="0" borderId="3" xfId="2" applyNumberFormat="1" applyFont="1" applyBorder="1" applyAlignment="1">
      <alignment horizontal="left" vertical="center"/>
    </xf>
    <xf numFmtId="0" fontId="4" fillId="0" borderId="11" xfId="2" applyFont="1" applyBorder="1" applyAlignment="1">
      <alignment horizontal="left" vertical="center"/>
    </xf>
    <xf numFmtId="0" fontId="4" fillId="0" borderId="12" xfId="2" applyFont="1" applyBorder="1" applyAlignment="1">
      <alignment horizontal="left" vertical="center"/>
    </xf>
    <xf numFmtId="0" fontId="4" fillId="0" borderId="13" xfId="2" applyFont="1" applyBorder="1" applyAlignment="1">
      <alignment horizontal="left" vertical="center"/>
    </xf>
    <xf numFmtId="0" fontId="4" fillId="0" borderId="14" xfId="2" applyFont="1" applyBorder="1" applyAlignment="1">
      <alignment horizontal="left" vertical="center"/>
    </xf>
    <xf numFmtId="0" fontId="19" fillId="9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6" borderId="0" xfId="0" applyFont="1" applyFill="1" applyAlignment="1">
      <alignment horizontal="center" wrapText="1"/>
    </xf>
    <xf numFmtId="0" fontId="12" fillId="6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1" fillId="9" borderId="0" xfId="3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12" fillId="9" borderId="0" xfId="0" applyFont="1" applyFill="1" applyAlignment="1">
      <alignment horizontal="center" vertical="center"/>
    </xf>
    <xf numFmtId="0" fontId="20" fillId="0" borderId="0" xfId="3" applyAlignment="1">
      <alignment horizontal="left" vertical="top" wrapText="1"/>
    </xf>
    <xf numFmtId="0" fontId="24" fillId="0" borderId="19" xfId="3" applyFont="1" applyBorder="1" applyAlignment="1">
      <alignment horizontal="left" vertical="top" wrapText="1"/>
    </xf>
    <xf numFmtId="0" fontId="24" fillId="0" borderId="18" xfId="3" applyFont="1" applyBorder="1" applyAlignment="1">
      <alignment horizontal="left" vertical="top" wrapText="1"/>
    </xf>
    <xf numFmtId="1" fontId="23" fillId="0" borderId="19" xfId="3" applyNumberFormat="1" applyFont="1" applyBorder="1" applyAlignment="1">
      <alignment horizontal="left" vertical="top" shrinkToFit="1"/>
    </xf>
    <xf numFmtId="1" fontId="23" fillId="0" borderId="18" xfId="3" applyNumberFormat="1" applyFont="1" applyBorder="1" applyAlignment="1">
      <alignment horizontal="left" vertical="top" shrinkToFit="1"/>
    </xf>
    <xf numFmtId="0" fontId="25" fillId="10" borderId="19" xfId="3" applyFont="1" applyFill="1" applyBorder="1" applyAlignment="1">
      <alignment horizontal="left" vertical="top" wrapText="1"/>
    </xf>
    <xf numFmtId="0" fontId="25" fillId="10" borderId="18" xfId="3" applyFont="1" applyFill="1" applyBorder="1" applyAlignment="1">
      <alignment horizontal="left" vertical="top" wrapText="1"/>
    </xf>
    <xf numFmtId="0" fontId="25" fillId="10" borderId="20" xfId="3" applyFont="1" applyFill="1" applyBorder="1" applyAlignment="1">
      <alignment horizontal="left" vertical="top" wrapText="1"/>
    </xf>
    <xf numFmtId="0" fontId="27" fillId="9" borderId="25" xfId="3" applyFont="1" applyFill="1" applyBorder="1" applyAlignment="1">
      <alignment horizontal="center" vertical="top" wrapText="1"/>
    </xf>
    <xf numFmtId="0" fontId="27" fillId="9" borderId="26" xfId="3" applyFont="1" applyFill="1" applyBorder="1" applyAlignment="1">
      <alignment horizontal="center" vertical="top" wrapText="1"/>
    </xf>
    <xf numFmtId="0" fontId="27" fillId="9" borderId="24" xfId="3" applyFont="1" applyFill="1" applyBorder="1" applyAlignment="1">
      <alignment horizontal="center" vertical="top" wrapText="1"/>
    </xf>
    <xf numFmtId="0" fontId="27" fillId="9" borderId="22" xfId="3" applyFont="1" applyFill="1" applyBorder="1" applyAlignment="1">
      <alignment horizontal="center" vertical="top" wrapText="1"/>
    </xf>
    <xf numFmtId="0" fontId="27" fillId="9" borderId="23" xfId="3" applyFont="1" applyFill="1" applyBorder="1" applyAlignment="1">
      <alignment horizontal="center" vertical="top" wrapText="1"/>
    </xf>
    <xf numFmtId="0" fontId="27" fillId="9" borderId="21" xfId="3" applyFont="1" applyFill="1" applyBorder="1" applyAlignment="1">
      <alignment horizontal="center" vertical="top" wrapText="1"/>
    </xf>
    <xf numFmtId="1" fontId="23" fillId="0" borderId="20" xfId="3" applyNumberFormat="1" applyFont="1" applyBorder="1" applyAlignment="1">
      <alignment horizontal="left" vertical="top" shrinkToFit="1"/>
    </xf>
    <xf numFmtId="0" fontId="24" fillId="0" borderId="20" xfId="3" applyFont="1" applyBorder="1" applyAlignment="1">
      <alignment horizontal="left" vertical="top" wrapText="1"/>
    </xf>
    <xf numFmtId="0" fontId="20" fillId="0" borderId="19" xfId="3" applyBorder="1" applyAlignment="1">
      <alignment horizontal="left" vertical="top" wrapText="1"/>
    </xf>
    <xf numFmtId="0" fontId="20" fillId="0" borderId="20" xfId="3" applyBorder="1" applyAlignment="1">
      <alignment horizontal="left" vertical="top" wrapText="1"/>
    </xf>
    <xf numFmtId="0" fontId="20" fillId="0" borderId="18" xfId="3" applyBorder="1" applyAlignment="1">
      <alignment horizontal="left" vertical="top" wrapText="1"/>
    </xf>
    <xf numFmtId="0" fontId="20" fillId="0" borderId="0" xfId="3" applyAlignment="1">
      <alignment horizontal="left" vertical="center" wrapText="1"/>
    </xf>
    <xf numFmtId="0" fontId="34" fillId="12" borderId="27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7" xfId="0" applyFont="1" applyBorder="1" applyAlignment="1">
      <alignment vertical="top" wrapText="1"/>
    </xf>
    <xf numFmtId="0" fontId="35" fillId="0" borderId="27" xfId="4" applyFont="1" applyBorder="1" applyAlignment="1">
      <alignment vertical="top" wrapText="1"/>
    </xf>
    <xf numFmtId="0" fontId="36" fillId="0" borderId="0" xfId="0" applyFont="1" applyAlignment="1">
      <alignment horizontal="left" vertical="center"/>
    </xf>
    <xf numFmtId="0" fontId="12" fillId="0" borderId="0" xfId="0" applyFont="1"/>
  </cellXfs>
  <cellStyles count="5">
    <cellStyle name="Hyperlink" xfId="4" builtinId="8"/>
    <cellStyle name="Normal" xfId="0" builtinId="0"/>
    <cellStyle name="Normal 2" xfId="3" xr:uid="{881CAAA9-90DB-4E9A-93E4-02B71B8690F9}"/>
    <cellStyle name="常规 3" xfId="2" xr:uid="{92E66D52-96B5-492B-9E64-8F7FF184FEE1}"/>
    <cellStyle name="常规 4" xfId="1" xr:uid="{2447511B-FD0F-4F0D-8AB2-CA10121536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64531</xdr:colOff>
      <xdr:row>70</xdr:row>
      <xdr:rowOff>0</xdr:rowOff>
    </xdr:from>
    <xdr:ext cx="189865" cy="1206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5B735045-9159-4E32-8822-31C5C76861A0}"/>
            </a:ext>
          </a:extLst>
        </xdr:cNvPr>
        <xdr:cNvSpPr/>
      </xdr:nvSpPr>
      <xdr:spPr>
        <a:xfrm>
          <a:off x="64531" y="12630150"/>
          <a:ext cx="189865" cy="120650"/>
        </a:xfrm>
        <a:custGeom>
          <a:avLst/>
          <a:gdLst/>
          <a:ahLst/>
          <a:cxnLst/>
          <a:rect l="0" t="0" r="0" b="0"/>
          <a:pathLst>
            <a:path w="189865" h="120650">
              <a:moveTo>
                <a:pt x="187422" y="115079"/>
              </a:moveTo>
              <a:lnTo>
                <a:pt x="1990" y="115079"/>
              </a:lnTo>
              <a:lnTo>
                <a:pt x="0" y="113126"/>
              </a:lnTo>
              <a:lnTo>
                <a:pt x="87" y="20256"/>
              </a:lnTo>
              <a:lnTo>
                <a:pt x="2079" y="18302"/>
              </a:lnTo>
              <a:lnTo>
                <a:pt x="9545" y="18302"/>
              </a:lnTo>
              <a:lnTo>
                <a:pt x="10579" y="17268"/>
              </a:lnTo>
              <a:lnTo>
                <a:pt x="11156" y="16605"/>
              </a:lnTo>
              <a:lnTo>
                <a:pt x="11164" y="5149"/>
              </a:lnTo>
              <a:lnTo>
                <a:pt x="12687" y="3336"/>
              </a:lnTo>
              <a:lnTo>
                <a:pt x="14775" y="2962"/>
              </a:lnTo>
              <a:lnTo>
                <a:pt x="36969" y="0"/>
              </a:lnTo>
              <a:lnTo>
                <a:pt x="55926" y="0"/>
              </a:lnTo>
              <a:lnTo>
                <a:pt x="74380" y="3580"/>
              </a:lnTo>
              <a:lnTo>
                <a:pt x="74531" y="3580"/>
              </a:lnTo>
              <a:lnTo>
                <a:pt x="77428" y="4991"/>
              </a:lnTo>
              <a:lnTo>
                <a:pt x="39752" y="4991"/>
              </a:lnTo>
              <a:lnTo>
                <a:pt x="20722" y="7012"/>
              </a:lnTo>
              <a:lnTo>
                <a:pt x="18565" y="7311"/>
              </a:lnTo>
              <a:lnTo>
                <a:pt x="16952" y="9144"/>
              </a:lnTo>
              <a:lnTo>
                <a:pt x="16992" y="96637"/>
              </a:lnTo>
              <a:lnTo>
                <a:pt x="18765" y="98362"/>
              </a:lnTo>
              <a:lnTo>
                <a:pt x="65327" y="98362"/>
              </a:lnTo>
              <a:lnTo>
                <a:pt x="73891" y="100082"/>
              </a:lnTo>
              <a:lnTo>
                <a:pt x="88372" y="106549"/>
              </a:lnTo>
              <a:lnTo>
                <a:pt x="88818" y="106779"/>
              </a:lnTo>
              <a:lnTo>
                <a:pt x="189457" y="106779"/>
              </a:lnTo>
              <a:lnTo>
                <a:pt x="189412" y="113126"/>
              </a:lnTo>
              <a:lnTo>
                <a:pt x="187422" y="115079"/>
              </a:lnTo>
              <a:close/>
            </a:path>
            <a:path w="189865" h="120650">
              <a:moveTo>
                <a:pt x="107538" y="13993"/>
              </a:moveTo>
              <a:lnTo>
                <a:pt x="94960" y="13993"/>
              </a:lnTo>
              <a:lnTo>
                <a:pt x="98455" y="11580"/>
              </a:lnTo>
              <a:lnTo>
                <a:pt x="114781" y="3580"/>
              </a:lnTo>
              <a:lnTo>
                <a:pt x="133152" y="0"/>
              </a:lnTo>
              <a:lnTo>
                <a:pt x="152813" y="0"/>
              </a:lnTo>
              <a:lnTo>
                <a:pt x="174636" y="2962"/>
              </a:lnTo>
              <a:lnTo>
                <a:pt x="176725" y="3336"/>
              </a:lnTo>
              <a:lnTo>
                <a:pt x="178115" y="4991"/>
              </a:lnTo>
              <a:lnTo>
                <a:pt x="150090" y="4991"/>
              </a:lnTo>
              <a:lnTo>
                <a:pt x="132118" y="5709"/>
              </a:lnTo>
              <a:lnTo>
                <a:pt x="115713" y="9642"/>
              </a:lnTo>
              <a:lnTo>
                <a:pt x="107538" y="13993"/>
              </a:lnTo>
              <a:close/>
            </a:path>
            <a:path w="189865" h="120650">
              <a:moveTo>
                <a:pt x="98818" y="106779"/>
              </a:moveTo>
              <a:lnTo>
                <a:pt x="91024" y="106779"/>
              </a:lnTo>
              <a:lnTo>
                <a:pt x="91905" y="105898"/>
              </a:lnTo>
              <a:lnTo>
                <a:pt x="91906" y="21259"/>
              </a:lnTo>
              <a:lnTo>
                <a:pt x="39752" y="4991"/>
              </a:lnTo>
              <a:lnTo>
                <a:pt x="77428" y="4991"/>
              </a:lnTo>
              <a:lnTo>
                <a:pt x="90957" y="11580"/>
              </a:lnTo>
              <a:lnTo>
                <a:pt x="94490" y="13993"/>
              </a:lnTo>
              <a:lnTo>
                <a:pt x="107538" y="13993"/>
              </a:lnTo>
              <a:lnTo>
                <a:pt x="101385" y="17268"/>
              </a:lnTo>
              <a:lnTo>
                <a:pt x="99224" y="18784"/>
              </a:lnTo>
              <a:lnTo>
                <a:pt x="97937" y="21259"/>
              </a:lnTo>
              <a:lnTo>
                <a:pt x="97938" y="105898"/>
              </a:lnTo>
              <a:lnTo>
                <a:pt x="98818" y="106779"/>
              </a:lnTo>
              <a:close/>
            </a:path>
            <a:path w="189865" h="120650">
              <a:moveTo>
                <a:pt x="189453" y="98362"/>
              </a:moveTo>
              <a:lnTo>
                <a:pt x="171209" y="98362"/>
              </a:lnTo>
              <a:lnTo>
                <a:pt x="172746" y="96832"/>
              </a:lnTo>
              <a:lnTo>
                <a:pt x="172903" y="96637"/>
              </a:lnTo>
              <a:lnTo>
                <a:pt x="172891" y="9144"/>
              </a:lnTo>
              <a:lnTo>
                <a:pt x="171278" y="7311"/>
              </a:lnTo>
              <a:lnTo>
                <a:pt x="169121" y="7012"/>
              </a:lnTo>
              <a:lnTo>
                <a:pt x="150090" y="4991"/>
              </a:lnTo>
              <a:lnTo>
                <a:pt x="178115" y="4991"/>
              </a:lnTo>
              <a:lnTo>
                <a:pt x="178248" y="5149"/>
              </a:lnTo>
              <a:lnTo>
                <a:pt x="178256" y="16605"/>
              </a:lnTo>
              <a:lnTo>
                <a:pt x="179953" y="18302"/>
              </a:lnTo>
              <a:lnTo>
                <a:pt x="187420" y="18302"/>
              </a:lnTo>
              <a:lnTo>
                <a:pt x="189412" y="20256"/>
              </a:lnTo>
              <a:lnTo>
                <a:pt x="189453" y="98362"/>
              </a:lnTo>
              <a:close/>
            </a:path>
            <a:path w="189865" h="120650">
              <a:moveTo>
                <a:pt x="65327" y="98362"/>
              </a:moveTo>
              <a:lnTo>
                <a:pt x="21756" y="98362"/>
              </a:lnTo>
              <a:lnTo>
                <a:pt x="40211" y="96393"/>
              </a:lnTo>
              <a:lnTo>
                <a:pt x="57714" y="96832"/>
              </a:lnTo>
              <a:lnTo>
                <a:pt x="65327" y="98362"/>
              </a:lnTo>
              <a:close/>
            </a:path>
            <a:path w="189865" h="120650">
              <a:moveTo>
                <a:pt x="189457" y="106779"/>
              </a:moveTo>
              <a:lnTo>
                <a:pt x="101024" y="106779"/>
              </a:lnTo>
              <a:lnTo>
                <a:pt x="101385" y="106549"/>
              </a:lnTo>
              <a:lnTo>
                <a:pt x="101040" y="106549"/>
              </a:lnTo>
              <a:lnTo>
                <a:pt x="115521" y="100082"/>
              </a:lnTo>
              <a:lnTo>
                <a:pt x="131698" y="96832"/>
              </a:lnTo>
              <a:lnTo>
                <a:pt x="149200" y="96393"/>
              </a:lnTo>
              <a:lnTo>
                <a:pt x="167656" y="98362"/>
              </a:lnTo>
              <a:lnTo>
                <a:pt x="189453" y="98362"/>
              </a:lnTo>
              <a:lnTo>
                <a:pt x="189457" y="106779"/>
              </a:lnTo>
              <a:close/>
            </a:path>
            <a:path w="189865" h="120650">
              <a:moveTo>
                <a:pt x="104676" y="120251"/>
              </a:moveTo>
              <a:lnTo>
                <a:pt x="84571" y="120251"/>
              </a:lnTo>
              <a:lnTo>
                <a:pt x="83453" y="119134"/>
              </a:lnTo>
              <a:lnTo>
                <a:pt x="83413" y="116186"/>
              </a:lnTo>
              <a:lnTo>
                <a:pt x="82268" y="115079"/>
              </a:lnTo>
              <a:lnTo>
                <a:pt x="106979" y="115079"/>
              </a:lnTo>
              <a:lnTo>
                <a:pt x="105871" y="116186"/>
              </a:lnTo>
              <a:lnTo>
                <a:pt x="105820" y="119134"/>
              </a:lnTo>
              <a:lnTo>
                <a:pt x="104676" y="120251"/>
              </a:lnTo>
              <a:close/>
            </a:path>
          </a:pathLst>
        </a:custGeom>
        <a:solidFill>
          <a:srgbClr val="04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ebstore.iec.ch/en/publication/26037" TargetMode="External"/><Relationship Id="rId7" Type="http://schemas.openxmlformats.org/officeDocument/2006/relationships/hyperlink" Target="https://www.modbus.org/file/secure/modbusprotocolspecification.pdf" TargetMode="External"/><Relationship Id="rId2" Type="http://schemas.openxmlformats.org/officeDocument/2006/relationships/hyperlink" Target="https://webstore.iec.ch/en/publication/68533" TargetMode="External"/><Relationship Id="rId1" Type="http://schemas.openxmlformats.org/officeDocument/2006/relationships/hyperlink" Target="https://webstore.iec.ch/en/publication/4469" TargetMode="External"/><Relationship Id="rId6" Type="http://schemas.openxmlformats.org/officeDocument/2006/relationships/hyperlink" Target="https://webstore.iec.ch/en/publication/65543" TargetMode="External"/><Relationship Id="rId5" Type="http://schemas.openxmlformats.org/officeDocument/2006/relationships/hyperlink" Target="https://webstore.iec.ch/en/publication/83454" TargetMode="External"/><Relationship Id="rId4" Type="http://schemas.openxmlformats.org/officeDocument/2006/relationships/hyperlink" Target="https://webstore.iec.ch/en/publication/6693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7E0F-57EC-4CFC-B0AB-C05D0F71BA31}">
  <dimension ref="A1:M87"/>
  <sheetViews>
    <sheetView workbookViewId="0">
      <selection activeCell="E24" sqref="E24"/>
    </sheetView>
  </sheetViews>
  <sheetFormatPr defaultRowHeight="15"/>
  <cols>
    <col min="1" max="1" width="18.140625" customWidth="1"/>
    <col min="2" max="2" width="29.5703125" customWidth="1"/>
    <col min="5" max="5" width="40.5703125" customWidth="1"/>
    <col min="6" max="6" width="27.5703125" customWidth="1"/>
    <col min="8" max="8" width="41.85546875" customWidth="1"/>
    <col min="9" max="9" width="36.7109375" customWidth="1"/>
  </cols>
  <sheetData>
    <row r="1" spans="1:13">
      <c r="A1" s="68" t="s">
        <v>121</v>
      </c>
      <c r="B1" s="68"/>
      <c r="C1" s="68"/>
      <c r="D1" s="68" t="s">
        <v>122</v>
      </c>
      <c r="E1" s="68" t="s">
        <v>0</v>
      </c>
      <c r="F1" s="68" t="s">
        <v>1</v>
      </c>
      <c r="G1" s="68" t="s">
        <v>123</v>
      </c>
      <c r="H1" s="68" t="s">
        <v>0</v>
      </c>
      <c r="I1" s="68" t="s">
        <v>2</v>
      </c>
      <c r="J1" s="68" t="s">
        <v>3</v>
      </c>
      <c r="K1" s="68"/>
      <c r="L1" s="68"/>
      <c r="M1" s="68"/>
    </row>
    <row r="2" spans="1:13" ht="30">
      <c r="A2" s="1" t="s">
        <v>4</v>
      </c>
      <c r="B2" s="1" t="s">
        <v>0</v>
      </c>
      <c r="C2" s="1"/>
      <c r="D2" s="1" t="s">
        <v>4</v>
      </c>
      <c r="E2" s="1" t="s">
        <v>0</v>
      </c>
      <c r="F2" s="1"/>
      <c r="G2" s="1" t="s">
        <v>4</v>
      </c>
      <c r="H2" s="1" t="s">
        <v>0</v>
      </c>
      <c r="I2" s="1" t="s">
        <v>2</v>
      </c>
      <c r="J2" s="1" t="s">
        <v>4</v>
      </c>
      <c r="K2" s="1" t="s">
        <v>0</v>
      </c>
      <c r="L2" s="1" t="s">
        <v>5</v>
      </c>
      <c r="M2" s="1" t="s">
        <v>6</v>
      </c>
    </row>
    <row r="3" spans="1:13">
      <c r="A3" s="2">
        <v>1</v>
      </c>
      <c r="B3" s="3" t="s">
        <v>7</v>
      </c>
      <c r="C3" s="2" t="s">
        <v>124</v>
      </c>
      <c r="D3" s="4">
        <v>1</v>
      </c>
      <c r="E3" s="5" t="s">
        <v>8</v>
      </c>
      <c r="F3" s="5"/>
      <c r="G3" s="4">
        <v>1</v>
      </c>
      <c r="H3" s="5" t="s">
        <v>9</v>
      </c>
      <c r="I3" s="5" t="s">
        <v>10</v>
      </c>
      <c r="J3" s="6"/>
      <c r="K3" s="6"/>
      <c r="L3" s="6"/>
      <c r="M3" s="6"/>
    </row>
    <row r="4" spans="1:13">
      <c r="A4" s="2">
        <v>2</v>
      </c>
      <c r="B4" s="3" t="s">
        <v>11</v>
      </c>
      <c r="C4" s="2">
        <f>16391 + A4</f>
        <v>16393</v>
      </c>
      <c r="D4" s="4">
        <v>2</v>
      </c>
      <c r="E4" s="7" t="s">
        <v>12</v>
      </c>
      <c r="F4" s="5"/>
      <c r="G4" s="4">
        <v>2</v>
      </c>
      <c r="H4" s="5" t="s">
        <v>13</v>
      </c>
      <c r="I4" s="5" t="s">
        <v>14</v>
      </c>
      <c r="J4" s="6"/>
      <c r="K4" s="6"/>
      <c r="L4" s="6"/>
      <c r="M4" s="6"/>
    </row>
    <row r="5" spans="1:13">
      <c r="A5" s="2">
        <v>3</v>
      </c>
      <c r="B5" s="3" t="s">
        <v>15</v>
      </c>
      <c r="C5" s="2"/>
      <c r="D5" s="4">
        <v>3</v>
      </c>
      <c r="E5" s="5" t="s">
        <v>16</v>
      </c>
      <c r="F5" s="5"/>
      <c r="G5" s="4">
        <v>3</v>
      </c>
      <c r="H5" s="5" t="s">
        <v>18</v>
      </c>
      <c r="I5" s="5" t="s">
        <v>17</v>
      </c>
      <c r="J5" s="6"/>
      <c r="K5" s="6"/>
      <c r="L5" s="6"/>
      <c r="M5" s="6"/>
    </row>
    <row r="6" spans="1:13">
      <c r="A6" s="2">
        <v>4</v>
      </c>
      <c r="B6" s="3" t="s">
        <v>19</v>
      </c>
      <c r="C6" s="2"/>
      <c r="D6" s="4">
        <v>4</v>
      </c>
      <c r="E6" s="5" t="s">
        <v>20</v>
      </c>
      <c r="F6" s="5"/>
      <c r="G6" s="6"/>
      <c r="H6" s="6"/>
      <c r="I6" s="6"/>
      <c r="J6" s="6"/>
      <c r="K6" s="6"/>
      <c r="L6" s="6"/>
      <c r="M6" s="6"/>
    </row>
    <row r="7" spans="1:13">
      <c r="A7" s="2">
        <v>5</v>
      </c>
      <c r="B7" s="3" t="s">
        <v>21</v>
      </c>
      <c r="C7" s="2"/>
      <c r="D7" s="4">
        <v>5</v>
      </c>
      <c r="E7" s="5" t="s">
        <v>22</v>
      </c>
      <c r="F7" s="5"/>
      <c r="G7" s="6"/>
      <c r="H7" s="6"/>
      <c r="I7" s="6"/>
      <c r="J7" s="6"/>
      <c r="K7" s="6"/>
      <c r="L7" s="6"/>
      <c r="M7" s="6"/>
    </row>
    <row r="8" spans="1:13">
      <c r="A8" s="2">
        <v>6</v>
      </c>
      <c r="B8" s="3" t="s">
        <v>23</v>
      </c>
      <c r="C8" s="2"/>
      <c r="D8" s="4">
        <v>6</v>
      </c>
      <c r="E8" s="5" t="s">
        <v>24</v>
      </c>
      <c r="F8" s="5"/>
      <c r="G8" s="6"/>
      <c r="H8" s="6"/>
      <c r="I8" s="6"/>
      <c r="J8" s="6"/>
      <c r="K8" s="6"/>
      <c r="L8" s="6"/>
      <c r="M8" s="6"/>
    </row>
    <row r="9" spans="1:13">
      <c r="A9" s="2">
        <v>7</v>
      </c>
      <c r="B9" s="3" t="s">
        <v>25</v>
      </c>
      <c r="C9" s="2"/>
      <c r="D9" s="4">
        <v>7</v>
      </c>
      <c r="E9" s="5" t="s">
        <v>26</v>
      </c>
      <c r="F9" s="5"/>
      <c r="G9" s="6"/>
      <c r="H9" s="6"/>
      <c r="I9" s="6"/>
      <c r="J9" s="6"/>
      <c r="K9" s="6"/>
      <c r="L9" s="6"/>
      <c r="M9" s="6"/>
    </row>
    <row r="10" spans="1:13">
      <c r="A10" s="2">
        <v>8</v>
      </c>
      <c r="B10" s="3" t="s">
        <v>27</v>
      </c>
      <c r="C10" s="2"/>
      <c r="D10" s="4">
        <v>8</v>
      </c>
      <c r="E10" s="5" t="s">
        <v>28</v>
      </c>
      <c r="F10" s="5"/>
      <c r="G10" s="6"/>
      <c r="H10" s="6"/>
      <c r="I10" s="6"/>
      <c r="J10" s="6"/>
      <c r="K10" s="6"/>
      <c r="L10" s="6"/>
      <c r="M10" s="6"/>
    </row>
    <row r="11" spans="1:13">
      <c r="A11" s="2">
        <v>9</v>
      </c>
      <c r="B11" s="3" t="s">
        <v>29</v>
      </c>
      <c r="C11" s="2"/>
      <c r="D11" s="4">
        <v>9</v>
      </c>
      <c r="E11" s="5" t="s">
        <v>30</v>
      </c>
      <c r="F11" s="5"/>
      <c r="G11" s="6"/>
      <c r="H11" s="6"/>
      <c r="I11" s="6"/>
      <c r="J11" s="6"/>
      <c r="K11" s="6"/>
      <c r="L11" s="6"/>
      <c r="M11" s="6"/>
    </row>
    <row r="12" spans="1:13">
      <c r="A12" s="2">
        <v>10</v>
      </c>
      <c r="B12" s="3" t="s">
        <v>31</v>
      </c>
      <c r="C12" s="2"/>
      <c r="D12" s="4">
        <v>10</v>
      </c>
      <c r="E12" s="5" t="s">
        <v>32</v>
      </c>
      <c r="F12" s="5"/>
      <c r="G12" s="6"/>
      <c r="H12" s="6"/>
      <c r="I12" s="6"/>
      <c r="J12" s="6"/>
      <c r="K12" s="6"/>
      <c r="L12" s="6"/>
      <c r="M12" s="6"/>
    </row>
    <row r="13" spans="1:13">
      <c r="A13" s="2">
        <v>11</v>
      </c>
      <c r="B13" s="3" t="s">
        <v>33</v>
      </c>
      <c r="C13" s="2"/>
      <c r="D13" s="4">
        <v>11</v>
      </c>
      <c r="E13" s="5" t="s">
        <v>34</v>
      </c>
      <c r="F13" s="5"/>
      <c r="G13" s="8"/>
      <c r="H13" s="6"/>
      <c r="I13" s="6"/>
      <c r="J13" s="6"/>
      <c r="K13" s="6"/>
      <c r="L13" s="6"/>
      <c r="M13" s="6"/>
    </row>
    <row r="14" spans="1:13">
      <c r="A14" s="2">
        <v>12</v>
      </c>
      <c r="B14" s="3" t="s">
        <v>35</v>
      </c>
      <c r="C14" s="2"/>
      <c r="D14" s="4">
        <v>12</v>
      </c>
      <c r="E14" s="5" t="s">
        <v>36</v>
      </c>
      <c r="F14" s="5"/>
      <c r="G14" s="8"/>
      <c r="H14" s="66" t="s">
        <v>120</v>
      </c>
      <c r="I14" s="67"/>
      <c r="J14" s="67"/>
      <c r="K14" s="67"/>
      <c r="L14" s="6"/>
      <c r="M14" s="6"/>
    </row>
    <row r="15" spans="1:13">
      <c r="A15" s="2">
        <v>13</v>
      </c>
      <c r="B15" s="3" t="s">
        <v>37</v>
      </c>
      <c r="C15" s="2"/>
      <c r="D15" s="4">
        <v>13</v>
      </c>
      <c r="E15" s="5" t="s">
        <v>38</v>
      </c>
      <c r="F15" s="5"/>
      <c r="G15" s="8"/>
      <c r="H15" s="67"/>
      <c r="I15" s="67"/>
      <c r="J15" s="67"/>
      <c r="K15" s="67"/>
      <c r="L15" s="6"/>
      <c r="M15" s="6"/>
    </row>
    <row r="16" spans="1:13">
      <c r="A16" s="2">
        <v>14</v>
      </c>
      <c r="B16" s="3" t="s">
        <v>39</v>
      </c>
      <c r="C16" s="2"/>
      <c r="D16" s="4">
        <v>14</v>
      </c>
      <c r="E16" s="5" t="s">
        <v>40</v>
      </c>
      <c r="F16" s="5"/>
      <c r="G16" s="8"/>
      <c r="H16" s="67"/>
      <c r="I16" s="67"/>
      <c r="J16" s="67"/>
      <c r="K16" s="67"/>
      <c r="L16" s="6"/>
      <c r="M16" s="6"/>
    </row>
    <row r="17" spans="1:13">
      <c r="A17" s="2">
        <v>15</v>
      </c>
      <c r="B17" s="3" t="s">
        <v>41</v>
      </c>
      <c r="C17" s="2"/>
      <c r="D17" s="4">
        <v>15</v>
      </c>
      <c r="E17" s="5" t="s">
        <v>42</v>
      </c>
      <c r="F17" s="5"/>
      <c r="G17" s="8"/>
      <c r="H17" s="67"/>
      <c r="I17" s="67"/>
      <c r="J17" s="67"/>
      <c r="K17" s="67"/>
      <c r="L17" s="6"/>
      <c r="M17" s="6"/>
    </row>
    <row r="18" spans="1:13">
      <c r="A18" s="2">
        <v>16</v>
      </c>
      <c r="B18" s="3" t="s">
        <v>43</v>
      </c>
      <c r="C18" s="2"/>
      <c r="D18" s="4">
        <v>16</v>
      </c>
      <c r="E18" s="5" t="s">
        <v>44</v>
      </c>
      <c r="F18" s="5"/>
      <c r="G18" s="6"/>
      <c r="H18" s="67"/>
      <c r="I18" s="67"/>
      <c r="J18" s="67"/>
      <c r="K18" s="67"/>
      <c r="L18" s="6"/>
      <c r="M18" s="6"/>
    </row>
    <row r="19" spans="1:13">
      <c r="A19" s="2">
        <v>17</v>
      </c>
      <c r="B19" s="3" t="s">
        <v>45</v>
      </c>
      <c r="C19" s="2"/>
      <c r="D19" s="4">
        <v>17</v>
      </c>
      <c r="E19" s="5" t="s">
        <v>46</v>
      </c>
      <c r="F19" s="5"/>
      <c r="G19" s="6"/>
      <c r="H19" s="6"/>
      <c r="I19" s="6"/>
      <c r="J19" s="6"/>
      <c r="K19" s="6"/>
      <c r="L19" s="6"/>
      <c r="M19" s="6"/>
    </row>
    <row r="20" spans="1:13">
      <c r="A20" s="2">
        <v>18</v>
      </c>
      <c r="B20" s="3" t="s">
        <v>47</v>
      </c>
      <c r="C20" s="2"/>
      <c r="D20" s="4">
        <v>18</v>
      </c>
      <c r="E20" s="5" t="s">
        <v>48</v>
      </c>
      <c r="F20" s="5"/>
      <c r="G20" s="6"/>
      <c r="H20" s="6"/>
      <c r="I20" s="6"/>
      <c r="J20" s="6"/>
      <c r="K20" s="6"/>
      <c r="L20" s="6"/>
      <c r="M20" s="6"/>
    </row>
    <row r="21" spans="1:13">
      <c r="A21" s="2">
        <v>19</v>
      </c>
      <c r="B21" s="3" t="s">
        <v>49</v>
      </c>
      <c r="C21" s="2"/>
      <c r="D21" s="4">
        <v>19</v>
      </c>
      <c r="E21" s="5" t="s">
        <v>50</v>
      </c>
      <c r="F21" s="5"/>
      <c r="G21" s="6"/>
      <c r="H21" s="6"/>
      <c r="I21" s="6"/>
      <c r="J21" s="6"/>
      <c r="K21" s="6"/>
      <c r="L21" s="6"/>
      <c r="M21" s="6"/>
    </row>
    <row r="22" spans="1:13">
      <c r="A22" s="2">
        <v>20</v>
      </c>
      <c r="B22" s="3" t="s">
        <v>51</v>
      </c>
      <c r="C22" s="2"/>
      <c r="D22" s="4">
        <v>20</v>
      </c>
      <c r="E22" s="5" t="s">
        <v>52</v>
      </c>
      <c r="F22" s="5"/>
      <c r="G22" s="6"/>
      <c r="H22" s="6"/>
      <c r="I22" s="6"/>
      <c r="J22" s="6"/>
      <c r="K22" s="6"/>
      <c r="L22" s="6"/>
      <c r="M22" s="6"/>
    </row>
    <row r="23" spans="1:13">
      <c r="A23" s="2">
        <v>21</v>
      </c>
      <c r="B23" s="3" t="s">
        <v>53</v>
      </c>
      <c r="C23" s="2"/>
      <c r="D23" s="4">
        <v>21</v>
      </c>
      <c r="E23" s="5" t="s">
        <v>54</v>
      </c>
      <c r="F23" s="5"/>
      <c r="G23" s="6"/>
      <c r="H23" s="6"/>
      <c r="I23" s="6"/>
      <c r="J23" s="6"/>
      <c r="K23" s="6"/>
      <c r="L23" s="6"/>
      <c r="M23" s="6"/>
    </row>
    <row r="24" spans="1:13">
      <c r="A24" s="2">
        <v>22</v>
      </c>
      <c r="B24" s="3" t="s">
        <v>55</v>
      </c>
      <c r="C24" s="2"/>
      <c r="D24" s="4">
        <v>22</v>
      </c>
      <c r="E24" s="5" t="s">
        <v>56</v>
      </c>
      <c r="F24" s="5"/>
      <c r="G24" s="6"/>
      <c r="H24" s="6"/>
      <c r="I24" s="6"/>
      <c r="J24" s="6"/>
      <c r="K24" s="6"/>
      <c r="L24" s="6"/>
      <c r="M24" s="6"/>
    </row>
    <row r="25" spans="1:13">
      <c r="A25" s="2">
        <v>23</v>
      </c>
      <c r="B25" s="3" t="s">
        <v>57</v>
      </c>
      <c r="C25" s="2"/>
      <c r="D25" s="4">
        <v>23</v>
      </c>
      <c r="E25" s="5" t="s">
        <v>58</v>
      </c>
      <c r="F25" s="5"/>
      <c r="G25" s="6"/>
      <c r="H25" s="6"/>
      <c r="I25" s="6"/>
      <c r="J25" s="6"/>
      <c r="K25" s="6"/>
      <c r="L25" s="6"/>
      <c r="M25" s="6"/>
    </row>
    <row r="26" spans="1:13">
      <c r="A26" s="2">
        <v>24</v>
      </c>
      <c r="B26" s="3" t="s">
        <v>59</v>
      </c>
      <c r="C26" s="2"/>
      <c r="D26" s="4">
        <v>24</v>
      </c>
      <c r="E26" s="5" t="s">
        <v>60</v>
      </c>
      <c r="F26" s="5"/>
      <c r="G26" s="6"/>
      <c r="H26" s="6"/>
      <c r="I26" s="6"/>
      <c r="J26" s="6"/>
      <c r="K26" s="6"/>
      <c r="L26" s="6"/>
      <c r="M26" s="6"/>
    </row>
    <row r="27" spans="1:13">
      <c r="A27" s="2">
        <v>25</v>
      </c>
      <c r="B27" s="3" t="s">
        <v>61</v>
      </c>
      <c r="C27" s="2"/>
      <c r="D27" s="4">
        <v>25</v>
      </c>
      <c r="E27" s="5" t="s">
        <v>62</v>
      </c>
      <c r="F27" s="5"/>
      <c r="G27" s="6"/>
      <c r="H27" s="6"/>
      <c r="I27" s="6"/>
      <c r="J27" s="6"/>
      <c r="K27" s="6"/>
      <c r="L27" s="6"/>
      <c r="M27" s="6"/>
    </row>
    <row r="28" spans="1:13">
      <c r="A28" s="2">
        <v>26</v>
      </c>
      <c r="B28" s="3" t="s">
        <v>63</v>
      </c>
      <c r="C28" s="2"/>
      <c r="D28" s="4">
        <v>26</v>
      </c>
      <c r="E28" s="5" t="s">
        <v>64</v>
      </c>
      <c r="F28" s="5"/>
      <c r="G28" s="6"/>
      <c r="H28" s="6"/>
      <c r="I28" s="6"/>
      <c r="J28" s="6"/>
      <c r="K28" s="6"/>
      <c r="L28" s="6"/>
      <c r="M28" s="6"/>
    </row>
    <row r="29" spans="1:13">
      <c r="A29" s="2">
        <v>27</v>
      </c>
      <c r="B29" s="3" t="s">
        <v>65</v>
      </c>
      <c r="C29" s="2"/>
      <c r="D29" s="4">
        <v>27</v>
      </c>
      <c r="E29" s="5" t="s">
        <v>66</v>
      </c>
      <c r="F29" s="5"/>
      <c r="G29" s="6"/>
      <c r="H29" s="6"/>
      <c r="I29" s="6"/>
      <c r="J29" s="6"/>
      <c r="K29" s="6"/>
      <c r="L29" s="6"/>
      <c r="M29" s="6"/>
    </row>
    <row r="30" spans="1:13">
      <c r="A30" s="2">
        <v>28</v>
      </c>
      <c r="B30" s="3" t="s">
        <v>67</v>
      </c>
      <c r="C30" s="2"/>
      <c r="D30" s="4">
        <v>28</v>
      </c>
      <c r="E30" s="5" t="s">
        <v>68</v>
      </c>
      <c r="F30" s="5"/>
      <c r="G30" s="6"/>
      <c r="H30" s="6"/>
      <c r="I30" s="6"/>
      <c r="J30" s="6"/>
      <c r="K30" s="6"/>
      <c r="L30" s="6"/>
      <c r="M30" s="6"/>
    </row>
    <row r="31" spans="1:13">
      <c r="A31" s="2">
        <v>29</v>
      </c>
      <c r="B31" s="3" t="s">
        <v>69</v>
      </c>
      <c r="C31" s="2"/>
      <c r="D31" s="4">
        <v>29</v>
      </c>
      <c r="E31" s="5" t="s">
        <v>71</v>
      </c>
      <c r="F31" s="5"/>
      <c r="G31" s="6"/>
      <c r="H31" s="6"/>
      <c r="I31" s="6"/>
      <c r="J31" s="6"/>
      <c r="K31" s="6"/>
      <c r="L31" s="6"/>
      <c r="M31" s="6"/>
    </row>
    <row r="32" spans="1:13">
      <c r="A32" s="2">
        <v>30</v>
      </c>
      <c r="B32" s="3" t="s">
        <v>72</v>
      </c>
      <c r="C32" s="2"/>
      <c r="D32" s="4">
        <v>30</v>
      </c>
      <c r="E32" s="5" t="s">
        <v>73</v>
      </c>
      <c r="F32" s="5"/>
      <c r="G32" s="6"/>
      <c r="H32" s="6"/>
      <c r="I32" s="6"/>
      <c r="J32" s="6"/>
      <c r="K32" s="6"/>
      <c r="L32" s="6"/>
      <c r="M32" s="6"/>
    </row>
    <row r="33" spans="1:13">
      <c r="A33" s="2">
        <v>31</v>
      </c>
      <c r="B33" s="3" t="s">
        <v>74</v>
      </c>
      <c r="C33" s="2"/>
      <c r="D33" s="4">
        <v>31</v>
      </c>
      <c r="E33" s="5" t="s">
        <v>75</v>
      </c>
      <c r="F33" s="5"/>
      <c r="G33" s="6"/>
      <c r="H33" s="6"/>
      <c r="I33" s="6"/>
      <c r="J33" s="6"/>
      <c r="K33" s="6"/>
      <c r="L33" s="6"/>
      <c r="M33" s="6"/>
    </row>
    <row r="34" spans="1:13">
      <c r="A34" s="2">
        <v>32</v>
      </c>
      <c r="B34" s="3" t="s">
        <v>76</v>
      </c>
      <c r="C34" s="2"/>
      <c r="D34" s="4">
        <v>32</v>
      </c>
      <c r="E34" s="5" t="s">
        <v>78</v>
      </c>
      <c r="F34" s="5"/>
      <c r="G34" s="6"/>
      <c r="H34" s="6"/>
      <c r="I34" s="6"/>
      <c r="J34" s="6"/>
      <c r="K34" s="6"/>
      <c r="L34" s="6"/>
      <c r="M34" s="6"/>
    </row>
    <row r="35" spans="1:13">
      <c r="A35" s="2">
        <v>33</v>
      </c>
      <c r="B35" s="3" t="s">
        <v>79</v>
      </c>
      <c r="C35" s="2"/>
      <c r="D35" s="4">
        <v>33</v>
      </c>
      <c r="E35" s="5" t="s">
        <v>80</v>
      </c>
      <c r="F35" s="5"/>
      <c r="G35" s="6"/>
      <c r="H35" s="6"/>
      <c r="I35" s="6"/>
      <c r="J35" s="6"/>
      <c r="K35" s="6"/>
      <c r="L35" s="6"/>
      <c r="M35" s="6"/>
    </row>
    <row r="36" spans="1:13">
      <c r="A36" s="2">
        <v>34</v>
      </c>
      <c r="B36" s="3" t="s">
        <v>81</v>
      </c>
      <c r="C36" s="2"/>
      <c r="D36" s="4">
        <v>34</v>
      </c>
      <c r="E36" s="5" t="s">
        <v>82</v>
      </c>
      <c r="F36" s="5"/>
      <c r="G36" s="6"/>
      <c r="H36" s="6"/>
      <c r="I36" s="6"/>
      <c r="J36" s="6"/>
      <c r="K36" s="6"/>
      <c r="L36" s="6"/>
      <c r="M36" s="6"/>
    </row>
    <row r="37" spans="1:13" ht="15.75" thickBot="1">
      <c r="A37" s="2">
        <v>35</v>
      </c>
      <c r="B37" s="3" t="s">
        <v>83</v>
      </c>
      <c r="C37" s="2"/>
      <c r="D37" s="4">
        <v>35</v>
      </c>
      <c r="E37" s="5" t="s">
        <v>84</v>
      </c>
      <c r="F37" s="5"/>
      <c r="G37" s="6"/>
      <c r="H37" s="6"/>
      <c r="I37" s="6"/>
      <c r="J37" s="6"/>
      <c r="K37" s="6"/>
      <c r="L37" s="6"/>
      <c r="M37" s="6"/>
    </row>
    <row r="38" spans="1:13">
      <c r="A38" s="2">
        <v>36</v>
      </c>
      <c r="B38" s="3" t="s">
        <v>85</v>
      </c>
      <c r="C38" s="2"/>
      <c r="D38" s="4">
        <v>36</v>
      </c>
      <c r="E38" s="5" t="s">
        <v>86</v>
      </c>
      <c r="F38" s="5"/>
      <c r="G38" s="56" t="s">
        <v>87</v>
      </c>
      <c r="H38" s="57" t="s">
        <v>88</v>
      </c>
      <c r="I38" s="58"/>
      <c r="J38" s="59"/>
      <c r="K38" s="6"/>
      <c r="L38" s="6"/>
      <c r="M38" s="6"/>
    </row>
    <row r="39" spans="1:13">
      <c r="A39" s="2">
        <v>37</v>
      </c>
      <c r="B39" s="3" t="s">
        <v>89</v>
      </c>
      <c r="C39" s="2"/>
      <c r="D39" s="4">
        <v>37</v>
      </c>
      <c r="E39" s="5" t="s">
        <v>90</v>
      </c>
      <c r="F39" s="5"/>
      <c r="G39" s="56"/>
      <c r="H39" s="60"/>
      <c r="I39" s="61"/>
      <c r="J39" s="62"/>
      <c r="K39" s="6"/>
      <c r="L39" s="6"/>
      <c r="M39" s="6"/>
    </row>
    <row r="40" spans="1:13">
      <c r="A40" s="2">
        <v>38</v>
      </c>
      <c r="B40" s="3" t="s">
        <v>91</v>
      </c>
      <c r="C40" s="2"/>
      <c r="D40" s="4">
        <v>38</v>
      </c>
      <c r="E40" s="5" t="s">
        <v>92</v>
      </c>
      <c r="F40" s="5"/>
      <c r="G40" s="56"/>
      <c r="H40" s="60"/>
      <c r="I40" s="61"/>
      <c r="J40" s="62"/>
      <c r="K40" s="6"/>
      <c r="L40" s="6"/>
      <c r="M40" s="6"/>
    </row>
    <row r="41" spans="1:13">
      <c r="A41" s="2">
        <v>39</v>
      </c>
      <c r="B41" s="3" t="s">
        <v>93</v>
      </c>
      <c r="C41" s="2"/>
      <c r="D41" s="4">
        <v>39</v>
      </c>
      <c r="E41" s="5" t="s">
        <v>94</v>
      </c>
      <c r="F41" s="5"/>
      <c r="G41" s="56"/>
      <c r="H41" s="60"/>
      <c r="I41" s="61"/>
      <c r="J41" s="62"/>
      <c r="K41" s="6"/>
      <c r="L41" s="6"/>
      <c r="M41" s="6"/>
    </row>
    <row r="42" spans="1:13">
      <c r="A42" s="2">
        <v>40</v>
      </c>
      <c r="B42" s="3" t="s">
        <v>95</v>
      </c>
      <c r="C42" s="2"/>
      <c r="D42" s="4">
        <v>40</v>
      </c>
      <c r="E42" s="5" t="s">
        <v>96</v>
      </c>
      <c r="F42" s="5"/>
      <c r="G42" s="56"/>
      <c r="H42" s="60"/>
      <c r="I42" s="61"/>
      <c r="J42" s="62"/>
      <c r="K42" s="6"/>
      <c r="L42" s="6"/>
      <c r="M42" s="6"/>
    </row>
    <row r="43" spans="1:13">
      <c r="A43" s="2">
        <v>41</v>
      </c>
      <c r="B43" s="3" t="s">
        <v>97</v>
      </c>
      <c r="C43" s="2"/>
      <c r="D43" s="4">
        <v>41</v>
      </c>
      <c r="E43" s="5" t="s">
        <v>98</v>
      </c>
      <c r="F43" s="5"/>
      <c r="G43" s="56"/>
      <c r="H43" s="60"/>
      <c r="I43" s="61"/>
      <c r="J43" s="62"/>
      <c r="K43" s="6"/>
      <c r="L43" s="6"/>
      <c r="M43" s="6"/>
    </row>
    <row r="44" spans="1:13">
      <c r="A44" s="2">
        <v>42</v>
      </c>
      <c r="B44" s="3" t="s">
        <v>99</v>
      </c>
      <c r="C44" s="3"/>
      <c r="D44" s="4">
        <v>42</v>
      </c>
      <c r="E44" s="5" t="s">
        <v>100</v>
      </c>
      <c r="F44" s="5"/>
      <c r="G44" s="56"/>
      <c r="H44" s="60"/>
      <c r="I44" s="61"/>
      <c r="J44" s="62"/>
      <c r="K44" s="6"/>
      <c r="L44" s="6"/>
      <c r="M44" s="6"/>
    </row>
    <row r="45" spans="1:13">
      <c r="A45" s="2">
        <v>43</v>
      </c>
      <c r="B45" s="3" t="s">
        <v>99</v>
      </c>
      <c r="C45" s="3"/>
      <c r="D45" s="4">
        <v>43</v>
      </c>
      <c r="E45" s="5" t="s">
        <v>101</v>
      </c>
      <c r="F45" s="5"/>
      <c r="G45" s="56"/>
      <c r="H45" s="60"/>
      <c r="I45" s="61"/>
      <c r="J45" s="62"/>
      <c r="K45" s="6"/>
      <c r="L45" s="6"/>
      <c r="M45" s="6"/>
    </row>
    <row r="46" spans="1:13">
      <c r="A46" s="2">
        <v>44</v>
      </c>
      <c r="B46" s="3" t="s">
        <v>99</v>
      </c>
      <c r="C46" s="3"/>
      <c r="D46" s="4">
        <v>44</v>
      </c>
      <c r="E46" s="5" t="s">
        <v>102</v>
      </c>
      <c r="F46" s="5"/>
      <c r="G46" s="56"/>
      <c r="H46" s="60"/>
      <c r="I46" s="61"/>
      <c r="J46" s="62"/>
      <c r="K46" s="6"/>
      <c r="L46" s="6"/>
      <c r="M46" s="6"/>
    </row>
    <row r="47" spans="1:13" ht="15.75" thickBot="1">
      <c r="A47" s="2">
        <v>45</v>
      </c>
      <c r="B47" s="3" t="s">
        <v>99</v>
      </c>
      <c r="C47" s="3"/>
      <c r="D47" s="4">
        <v>45</v>
      </c>
      <c r="E47" s="5" t="s">
        <v>103</v>
      </c>
      <c r="F47" s="5"/>
      <c r="G47" s="56"/>
      <c r="H47" s="63"/>
      <c r="I47" s="64"/>
      <c r="J47" s="65"/>
      <c r="K47" s="6"/>
      <c r="L47" s="6"/>
      <c r="M47" s="6"/>
    </row>
    <row r="48" spans="1:13">
      <c r="A48" s="2">
        <v>46</v>
      </c>
      <c r="B48" s="3" t="s">
        <v>99</v>
      </c>
      <c r="C48" s="3"/>
      <c r="D48" s="4">
        <v>46</v>
      </c>
      <c r="E48" s="5" t="s">
        <v>104</v>
      </c>
      <c r="F48" s="5"/>
      <c r="G48" s="6"/>
      <c r="H48" s="6"/>
      <c r="I48" s="6"/>
      <c r="J48" s="6"/>
      <c r="K48" s="6"/>
      <c r="L48" s="6"/>
      <c r="M48" s="6"/>
    </row>
    <row r="49" spans="1:13">
      <c r="A49" s="2">
        <v>47</v>
      </c>
      <c r="B49" s="3" t="s">
        <v>99</v>
      </c>
      <c r="C49" s="3"/>
      <c r="D49" s="4">
        <v>47</v>
      </c>
      <c r="E49" s="5" t="s">
        <v>105</v>
      </c>
      <c r="F49" s="5"/>
      <c r="G49" s="6"/>
      <c r="H49" s="6"/>
      <c r="I49" s="6"/>
      <c r="J49" s="6"/>
      <c r="K49" s="6"/>
      <c r="L49" s="6"/>
      <c r="M49" s="6"/>
    </row>
    <row r="50" spans="1:13" ht="15.75" thickBot="1">
      <c r="A50" s="2">
        <v>48</v>
      </c>
      <c r="B50" s="3" t="s">
        <v>99</v>
      </c>
      <c r="C50" s="3"/>
      <c r="D50" s="4">
        <v>48</v>
      </c>
      <c r="E50" s="5" t="s">
        <v>106</v>
      </c>
      <c r="F50" s="5"/>
      <c r="G50" s="6"/>
      <c r="H50" s="6"/>
      <c r="I50" s="6"/>
      <c r="J50" s="6"/>
      <c r="K50" s="6"/>
      <c r="L50" s="6"/>
      <c r="M50" s="6"/>
    </row>
    <row r="51" spans="1:13" ht="15.75" thickBot="1">
      <c r="A51" s="2">
        <v>49</v>
      </c>
      <c r="B51" s="3" t="s">
        <v>107</v>
      </c>
      <c r="C51" s="3"/>
      <c r="D51" s="4">
        <v>49</v>
      </c>
      <c r="E51" s="5" t="s">
        <v>108</v>
      </c>
      <c r="F51" s="5"/>
      <c r="G51" s="9" t="s">
        <v>87</v>
      </c>
      <c r="H51" s="69" t="s">
        <v>109</v>
      </c>
      <c r="I51" s="70"/>
      <c r="J51" s="6"/>
      <c r="K51" s="6"/>
      <c r="L51" s="6"/>
      <c r="M51" s="6"/>
    </row>
    <row r="52" spans="1:13">
      <c r="A52" s="8"/>
      <c r="B52" s="6"/>
      <c r="C52" s="6"/>
      <c r="D52" s="4">
        <v>50</v>
      </c>
      <c r="E52" s="5" t="s">
        <v>110</v>
      </c>
      <c r="F52" s="5"/>
      <c r="G52" s="9"/>
      <c r="H52" s="71" t="s">
        <v>111</v>
      </c>
      <c r="I52" s="70"/>
      <c r="J52" s="6"/>
      <c r="K52" s="6"/>
      <c r="L52" s="6"/>
      <c r="M52" s="6"/>
    </row>
    <row r="53" spans="1:13">
      <c r="A53" s="8"/>
      <c r="B53" s="6"/>
      <c r="C53" s="6"/>
      <c r="D53" s="4">
        <v>51</v>
      </c>
      <c r="E53" s="5" t="s">
        <v>112</v>
      </c>
      <c r="F53" s="5"/>
      <c r="G53" s="9"/>
      <c r="H53" s="72" t="s">
        <v>113</v>
      </c>
      <c r="I53" s="73"/>
      <c r="J53" s="6"/>
      <c r="K53" s="6"/>
      <c r="L53" s="6"/>
      <c r="M53" s="6"/>
    </row>
    <row r="54" spans="1:13">
      <c r="A54" s="8"/>
      <c r="B54" s="6"/>
      <c r="C54" s="6"/>
      <c r="D54" s="4">
        <v>52</v>
      </c>
      <c r="E54" s="5" t="s">
        <v>114</v>
      </c>
      <c r="F54" s="5"/>
      <c r="G54" s="9"/>
      <c r="H54" s="72" t="s">
        <v>115</v>
      </c>
      <c r="I54" s="73"/>
      <c r="J54" s="6"/>
      <c r="K54" s="6"/>
      <c r="L54" s="6"/>
      <c r="M54" s="6"/>
    </row>
    <row r="55" spans="1:13" ht="15.75" thickBot="1">
      <c r="A55" s="8"/>
      <c r="B55" s="6"/>
      <c r="C55" s="6"/>
      <c r="D55" s="4">
        <v>53</v>
      </c>
      <c r="E55" s="5" t="s">
        <v>99</v>
      </c>
      <c r="F55" s="5"/>
      <c r="G55" s="9"/>
      <c r="H55" s="74" t="s">
        <v>116</v>
      </c>
      <c r="I55" s="75"/>
      <c r="J55" s="6"/>
      <c r="K55" s="6"/>
      <c r="L55" s="6"/>
      <c r="M55" s="6"/>
    </row>
    <row r="56" spans="1:13">
      <c r="A56" s="8"/>
      <c r="B56" s="6"/>
      <c r="C56" s="6"/>
      <c r="D56" s="4">
        <v>54</v>
      </c>
      <c r="E56" s="10" t="s">
        <v>99</v>
      </c>
      <c r="F56" s="5"/>
      <c r="G56" s="6"/>
      <c r="H56" s="6"/>
      <c r="I56" s="6"/>
      <c r="J56" s="6"/>
      <c r="K56" s="6"/>
      <c r="L56" s="6"/>
      <c r="M56" s="6"/>
    </row>
    <row r="57" spans="1:13">
      <c r="A57" s="8"/>
      <c r="B57" s="6"/>
      <c r="C57" s="6"/>
      <c r="D57" s="4">
        <v>55</v>
      </c>
      <c r="E57" s="10" t="s">
        <v>99</v>
      </c>
      <c r="F57" s="5"/>
      <c r="G57" s="6"/>
      <c r="H57" s="6"/>
      <c r="I57" s="6"/>
      <c r="J57" s="6"/>
      <c r="K57" s="6"/>
      <c r="L57" s="6"/>
      <c r="M57" s="6"/>
    </row>
    <row r="58" spans="1:13">
      <c r="A58" s="8"/>
      <c r="B58" s="6"/>
      <c r="C58" s="6"/>
      <c r="D58" s="4">
        <v>56</v>
      </c>
      <c r="E58" s="10" t="s">
        <v>99</v>
      </c>
      <c r="F58" s="5"/>
      <c r="G58" s="6"/>
      <c r="H58" s="6"/>
      <c r="I58" s="6"/>
      <c r="J58" s="6"/>
      <c r="K58" s="6"/>
      <c r="L58" s="6"/>
      <c r="M58" s="6"/>
    </row>
    <row r="59" spans="1:13">
      <c r="A59" s="8"/>
      <c r="B59" s="6"/>
      <c r="C59" s="6"/>
      <c r="D59" s="4">
        <v>57</v>
      </c>
      <c r="E59" s="10" t="s">
        <v>99</v>
      </c>
      <c r="F59" s="5"/>
      <c r="G59" s="6"/>
      <c r="H59" s="6"/>
      <c r="I59" s="6"/>
      <c r="J59" s="6"/>
      <c r="K59" s="6"/>
      <c r="L59" s="6"/>
      <c r="M59" s="6"/>
    </row>
    <row r="60" spans="1:13">
      <c r="A60" s="8"/>
      <c r="B60" s="6"/>
      <c r="C60" s="6"/>
      <c r="D60" s="4">
        <v>58</v>
      </c>
      <c r="E60" s="10" t="s">
        <v>99</v>
      </c>
      <c r="F60" s="5"/>
      <c r="G60" s="6"/>
      <c r="H60" s="6"/>
      <c r="I60" s="6"/>
      <c r="J60" s="6"/>
      <c r="K60" s="6"/>
      <c r="L60" s="6"/>
      <c r="M60" s="6"/>
    </row>
    <row r="61" spans="1:13">
      <c r="A61" s="8"/>
      <c r="B61" s="6"/>
      <c r="C61" s="6"/>
      <c r="D61" s="4">
        <v>59</v>
      </c>
      <c r="E61" s="10" t="s">
        <v>99</v>
      </c>
      <c r="F61" s="5"/>
      <c r="G61" s="6"/>
      <c r="H61" s="6"/>
      <c r="I61" s="6"/>
      <c r="J61" s="6"/>
      <c r="K61" s="6"/>
      <c r="L61" s="6"/>
      <c r="M61" s="6"/>
    </row>
    <row r="62" spans="1:13">
      <c r="A62" s="8"/>
      <c r="B62" s="6"/>
      <c r="C62" s="6"/>
      <c r="D62" s="4">
        <v>60</v>
      </c>
      <c r="E62" s="10" t="s">
        <v>99</v>
      </c>
      <c r="F62" s="5"/>
      <c r="G62" s="6"/>
      <c r="H62" s="6"/>
      <c r="I62" s="6"/>
      <c r="J62" s="6"/>
      <c r="K62" s="6"/>
      <c r="L62" s="6"/>
      <c r="M62" s="6"/>
    </row>
    <row r="63" spans="1:13">
      <c r="A63" s="8"/>
      <c r="B63" s="6"/>
      <c r="C63" s="6"/>
      <c r="D63" s="4">
        <v>61</v>
      </c>
      <c r="E63" s="10" t="s">
        <v>99</v>
      </c>
      <c r="F63" s="5"/>
      <c r="G63" s="6"/>
      <c r="H63" s="6"/>
      <c r="I63" s="6"/>
      <c r="J63" s="6"/>
      <c r="K63" s="6"/>
      <c r="L63" s="6"/>
      <c r="M63" s="6"/>
    </row>
    <row r="64" spans="1:13">
      <c r="A64" s="8"/>
      <c r="B64" s="6"/>
      <c r="C64" s="6"/>
      <c r="D64" s="4">
        <v>62</v>
      </c>
      <c r="E64" s="5" t="s">
        <v>99</v>
      </c>
      <c r="F64" s="5"/>
      <c r="G64" s="6"/>
      <c r="H64" s="6"/>
      <c r="I64" s="6"/>
      <c r="J64" s="6"/>
      <c r="K64" s="6"/>
      <c r="L64" s="6"/>
      <c r="M64" s="6"/>
    </row>
    <row r="65" spans="1:13">
      <c r="A65" s="8"/>
      <c r="B65" s="6"/>
      <c r="C65" s="6"/>
      <c r="D65" s="4">
        <v>63</v>
      </c>
      <c r="E65" s="5" t="s">
        <v>99</v>
      </c>
      <c r="F65" s="5"/>
      <c r="G65" s="6"/>
      <c r="H65" s="6"/>
      <c r="I65" s="6"/>
      <c r="J65" s="6"/>
      <c r="K65" s="6"/>
      <c r="L65" s="6"/>
      <c r="M65" s="6"/>
    </row>
    <row r="66" spans="1:13">
      <c r="A66" s="8"/>
      <c r="B66" s="6"/>
      <c r="C66" s="6"/>
      <c r="D66" s="4">
        <v>64</v>
      </c>
      <c r="E66" s="5" t="s">
        <v>99</v>
      </c>
      <c r="F66" s="5"/>
      <c r="G66" s="6"/>
      <c r="H66" s="6"/>
      <c r="I66" s="6"/>
      <c r="J66" s="6"/>
      <c r="K66" s="6"/>
      <c r="L66" s="6"/>
      <c r="M66" s="6"/>
    </row>
    <row r="67" spans="1:13">
      <c r="A67" s="8"/>
      <c r="B67" s="6"/>
      <c r="C67" s="6"/>
      <c r="D67" s="4">
        <v>65</v>
      </c>
      <c r="E67" s="5" t="s">
        <v>99</v>
      </c>
      <c r="F67" s="5"/>
      <c r="G67" s="6"/>
      <c r="H67" s="6"/>
      <c r="I67" s="6"/>
      <c r="J67" s="6"/>
      <c r="K67" s="6"/>
      <c r="L67" s="6"/>
      <c r="M67" s="6"/>
    </row>
    <row r="68" spans="1:13">
      <c r="A68" s="8"/>
      <c r="B68" s="6"/>
      <c r="C68" s="6"/>
      <c r="D68" s="4">
        <v>66</v>
      </c>
      <c r="E68" s="5" t="s">
        <v>99</v>
      </c>
      <c r="F68" s="5"/>
      <c r="G68" s="6"/>
      <c r="H68" s="6"/>
      <c r="I68" s="6"/>
      <c r="J68" s="6"/>
      <c r="K68" s="6"/>
      <c r="L68" s="6"/>
      <c r="M68" s="6"/>
    </row>
    <row r="69" spans="1:13">
      <c r="A69" s="8"/>
      <c r="B69" s="6"/>
      <c r="C69" s="6"/>
      <c r="D69" s="4">
        <v>67</v>
      </c>
      <c r="E69" s="5" t="s">
        <v>99</v>
      </c>
      <c r="F69" s="5"/>
      <c r="G69" s="6"/>
      <c r="H69" s="6"/>
      <c r="I69" s="6"/>
      <c r="J69" s="6"/>
      <c r="K69" s="6"/>
      <c r="L69" s="6"/>
      <c r="M69" s="6"/>
    </row>
    <row r="70" spans="1:13">
      <c r="A70" s="8"/>
      <c r="B70" s="6"/>
      <c r="C70" s="6"/>
      <c r="D70" s="4">
        <v>68</v>
      </c>
      <c r="E70" s="5" t="s">
        <v>99</v>
      </c>
      <c r="F70" s="5"/>
      <c r="G70" s="6"/>
      <c r="H70" s="6"/>
      <c r="I70" s="6"/>
      <c r="J70" s="6"/>
      <c r="K70" s="6"/>
      <c r="L70" s="6"/>
      <c r="M70" s="6"/>
    </row>
    <row r="71" spans="1:13">
      <c r="A71" s="8"/>
      <c r="B71" s="6"/>
      <c r="C71" s="6"/>
      <c r="D71" s="4">
        <v>69</v>
      </c>
      <c r="E71" s="5" t="s">
        <v>99</v>
      </c>
      <c r="F71" s="5"/>
      <c r="G71" s="6"/>
      <c r="H71" s="6"/>
      <c r="I71" s="6"/>
      <c r="J71" s="6"/>
      <c r="K71" s="6"/>
      <c r="L71" s="6"/>
      <c r="M71" s="6"/>
    </row>
    <row r="72" spans="1:13">
      <c r="A72" s="8"/>
      <c r="B72" s="6"/>
      <c r="C72" s="6"/>
      <c r="D72" s="4">
        <v>70</v>
      </c>
      <c r="E72" s="5" t="s">
        <v>99</v>
      </c>
      <c r="F72" s="5"/>
      <c r="G72" s="6"/>
      <c r="H72" s="6"/>
      <c r="I72" s="6"/>
      <c r="J72" s="6"/>
      <c r="K72" s="6"/>
      <c r="L72" s="6"/>
      <c r="M72" s="6"/>
    </row>
    <row r="73" spans="1:13">
      <c r="A73" s="8"/>
      <c r="B73" s="6"/>
      <c r="C73" s="6"/>
      <c r="D73" s="4">
        <v>71</v>
      </c>
      <c r="E73" s="5" t="s">
        <v>99</v>
      </c>
      <c r="F73" s="5"/>
      <c r="G73" s="6"/>
      <c r="H73" s="6"/>
      <c r="I73" s="6"/>
      <c r="J73" s="6"/>
      <c r="K73" s="6"/>
      <c r="L73" s="6"/>
      <c r="M73" s="6"/>
    </row>
    <row r="74" spans="1:13">
      <c r="A74" s="8"/>
      <c r="B74" s="6"/>
      <c r="C74" s="6"/>
      <c r="D74" s="4">
        <v>72</v>
      </c>
      <c r="E74" s="5" t="s">
        <v>99</v>
      </c>
      <c r="F74" s="5"/>
      <c r="G74" s="6"/>
      <c r="H74" s="6"/>
      <c r="I74" s="6"/>
      <c r="J74" s="6"/>
      <c r="K74" s="6"/>
      <c r="L74" s="6"/>
      <c r="M74" s="6"/>
    </row>
    <row r="75" spans="1:13">
      <c r="A75" s="8"/>
      <c r="B75" s="6"/>
      <c r="C75" s="6"/>
      <c r="D75" s="4">
        <v>73</v>
      </c>
      <c r="E75" s="5" t="s">
        <v>99</v>
      </c>
      <c r="F75" s="5"/>
      <c r="G75" s="6"/>
      <c r="H75" s="6"/>
      <c r="I75" s="6"/>
      <c r="J75" s="6"/>
      <c r="K75" s="6"/>
      <c r="L75" s="6"/>
      <c r="M75" s="6"/>
    </row>
    <row r="76" spans="1:13">
      <c r="A76" s="8"/>
      <c r="B76" s="6"/>
      <c r="C76" s="6"/>
      <c r="D76" s="4">
        <v>74</v>
      </c>
      <c r="E76" s="5" t="s">
        <v>99</v>
      </c>
      <c r="F76" s="5" t="s">
        <v>70</v>
      </c>
      <c r="G76" s="6"/>
      <c r="H76" s="6"/>
      <c r="I76" s="6"/>
      <c r="J76" s="6"/>
      <c r="K76" s="6"/>
      <c r="L76" s="6"/>
      <c r="M76" s="6"/>
    </row>
    <row r="77" spans="1:13">
      <c r="A77" s="8"/>
      <c r="B77" s="6"/>
      <c r="C77" s="6"/>
      <c r="D77" s="4">
        <v>75</v>
      </c>
      <c r="E77" s="5" t="s">
        <v>99</v>
      </c>
      <c r="F77" s="5" t="s">
        <v>70</v>
      </c>
      <c r="G77" s="6"/>
      <c r="H77" s="6"/>
      <c r="I77" s="6"/>
      <c r="J77" s="6"/>
      <c r="K77" s="6"/>
      <c r="L77" s="6"/>
      <c r="M77" s="6"/>
    </row>
    <row r="78" spans="1:13">
      <c r="A78" s="8"/>
      <c r="B78" s="6"/>
      <c r="C78" s="6"/>
      <c r="D78" s="4">
        <v>76</v>
      </c>
      <c r="E78" s="5" t="s">
        <v>99</v>
      </c>
      <c r="F78" s="5" t="s">
        <v>70</v>
      </c>
      <c r="G78" s="6"/>
      <c r="H78" s="6"/>
      <c r="I78" s="6"/>
      <c r="J78" s="6"/>
      <c r="K78" s="6"/>
      <c r="L78" s="6"/>
      <c r="M78" s="6"/>
    </row>
    <row r="79" spans="1:13">
      <c r="A79" s="8"/>
      <c r="B79" s="6"/>
      <c r="C79" s="6"/>
      <c r="D79" s="4">
        <v>77</v>
      </c>
      <c r="E79" s="5" t="s">
        <v>99</v>
      </c>
      <c r="F79" s="5" t="s">
        <v>70</v>
      </c>
      <c r="G79" s="6"/>
      <c r="H79" s="6"/>
      <c r="I79" s="6"/>
      <c r="J79" s="6"/>
      <c r="K79" s="6"/>
      <c r="L79" s="6"/>
      <c r="M79" s="6"/>
    </row>
    <row r="80" spans="1:13">
      <c r="A80" s="8"/>
      <c r="B80" s="6"/>
      <c r="C80" s="6"/>
      <c r="D80" s="4">
        <v>78</v>
      </c>
      <c r="E80" s="5" t="s">
        <v>99</v>
      </c>
      <c r="F80" s="5" t="s">
        <v>70</v>
      </c>
      <c r="G80" s="6"/>
      <c r="H80" s="6"/>
      <c r="I80" s="6"/>
      <c r="J80" s="6"/>
      <c r="K80" s="6"/>
      <c r="L80" s="6"/>
      <c r="M80" s="6"/>
    </row>
    <row r="81" spans="1:13">
      <c r="A81" s="8"/>
      <c r="B81" s="6"/>
      <c r="C81" s="6"/>
      <c r="D81" s="4">
        <v>79</v>
      </c>
      <c r="E81" s="5" t="s">
        <v>99</v>
      </c>
      <c r="F81" s="5" t="s">
        <v>70</v>
      </c>
      <c r="G81" s="6"/>
      <c r="H81" s="6"/>
      <c r="I81" s="6"/>
      <c r="J81" s="6"/>
      <c r="K81" s="6"/>
      <c r="L81" s="6"/>
      <c r="M81" s="6"/>
    </row>
    <row r="82" spans="1:13">
      <c r="A82" s="8"/>
      <c r="B82" s="6"/>
      <c r="C82" s="6"/>
      <c r="D82" s="4">
        <v>80</v>
      </c>
      <c r="E82" s="5" t="s">
        <v>99</v>
      </c>
      <c r="F82" s="5" t="s">
        <v>70</v>
      </c>
      <c r="G82" s="6"/>
      <c r="H82" s="6"/>
      <c r="I82" s="6"/>
      <c r="J82" s="6"/>
      <c r="K82" s="6"/>
      <c r="L82" s="6"/>
      <c r="M82" s="6"/>
    </row>
    <row r="83" spans="1:13">
      <c r="A83" s="8"/>
      <c r="B83" s="6"/>
      <c r="C83" s="6"/>
      <c r="D83" s="4">
        <v>81</v>
      </c>
      <c r="E83" s="5" t="s">
        <v>99</v>
      </c>
      <c r="F83" s="5" t="s">
        <v>70</v>
      </c>
      <c r="G83" s="6"/>
      <c r="H83" s="6"/>
      <c r="I83" s="6"/>
      <c r="J83" s="6"/>
      <c r="K83" s="6"/>
      <c r="L83" s="6"/>
      <c r="M83" s="6"/>
    </row>
    <row r="84" spans="1:13">
      <c r="A84" s="8"/>
      <c r="B84" s="6"/>
      <c r="C84" s="6"/>
      <c r="D84" s="4">
        <v>82</v>
      </c>
      <c r="E84" s="5" t="s">
        <v>99</v>
      </c>
      <c r="F84" s="5" t="s">
        <v>70</v>
      </c>
      <c r="G84" s="6"/>
      <c r="H84" s="6"/>
      <c r="I84" s="6"/>
      <c r="J84" s="6"/>
      <c r="K84" s="6"/>
      <c r="L84" s="6"/>
      <c r="M84" s="6"/>
    </row>
    <row r="85" spans="1:13">
      <c r="A85" s="8"/>
      <c r="B85" s="6"/>
      <c r="C85" s="6"/>
      <c r="D85" s="4">
        <v>83</v>
      </c>
      <c r="E85" s="5" t="s">
        <v>99</v>
      </c>
      <c r="F85" s="5" t="s">
        <v>70</v>
      </c>
      <c r="G85" s="6"/>
      <c r="H85" s="6"/>
      <c r="I85" s="6"/>
      <c r="J85" s="6"/>
      <c r="K85" s="6"/>
      <c r="L85" s="6"/>
      <c r="M85" s="6"/>
    </row>
    <row r="86" spans="1:13">
      <c r="A86" s="8"/>
      <c r="B86" s="6"/>
      <c r="C86" s="6"/>
      <c r="D86" s="4">
        <v>84</v>
      </c>
      <c r="E86" s="5" t="s">
        <v>117</v>
      </c>
      <c r="F86" s="5" t="s">
        <v>118</v>
      </c>
      <c r="G86" s="6"/>
      <c r="H86" s="6"/>
      <c r="I86" s="6"/>
      <c r="J86" s="6"/>
      <c r="K86" s="6"/>
      <c r="L86" s="6"/>
      <c r="M86" s="6"/>
    </row>
    <row r="87" spans="1:13">
      <c r="A87" s="8"/>
      <c r="B87" s="6"/>
      <c r="C87" s="6"/>
      <c r="D87" s="4">
        <v>85</v>
      </c>
      <c r="E87" s="5" t="s">
        <v>119</v>
      </c>
      <c r="F87" s="5" t="s">
        <v>118</v>
      </c>
      <c r="G87" s="6"/>
      <c r="H87" s="6"/>
      <c r="I87" s="6"/>
      <c r="J87" s="6"/>
      <c r="K87" s="6"/>
      <c r="L87" s="6"/>
      <c r="M87" s="6"/>
    </row>
  </sheetData>
  <mergeCells count="12">
    <mergeCell ref="H51:I51"/>
    <mergeCell ref="H52:I52"/>
    <mergeCell ref="H53:I53"/>
    <mergeCell ref="H54:I54"/>
    <mergeCell ref="H55:I55"/>
    <mergeCell ref="G38:G47"/>
    <mergeCell ref="H38:J47"/>
    <mergeCell ref="H14:K18"/>
    <mergeCell ref="A1:C1"/>
    <mergeCell ref="D1:F1"/>
    <mergeCell ref="G1:I1"/>
    <mergeCell ref="J1:M1"/>
  </mergeCells>
  <conditionalFormatting sqref="H5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3A98-D9D1-4BD9-836D-8BB357A7618F}">
  <dimension ref="A1:G19"/>
  <sheetViews>
    <sheetView workbookViewId="0">
      <pane ySplit="1" topLeftCell="A11" activePane="bottomLeft" state="frozen"/>
      <selection pane="bottomLeft" activeCell="G6" sqref="G6"/>
    </sheetView>
  </sheetViews>
  <sheetFormatPr defaultRowHeight="15"/>
  <cols>
    <col min="1" max="1" width="8" customWidth="1"/>
    <col min="2" max="2" width="55" customWidth="1"/>
    <col min="3" max="3" width="62" customWidth="1"/>
    <col min="4" max="4" width="40" customWidth="1"/>
    <col min="5" max="5" width="28" customWidth="1"/>
    <col min="6" max="6" width="30" customWidth="1"/>
    <col min="7" max="7" width="28" customWidth="1"/>
  </cols>
  <sheetData>
    <row r="1" spans="1:7" ht="40.5" customHeight="1">
      <c r="A1" s="108" t="s">
        <v>553</v>
      </c>
      <c r="B1" s="108" t="s">
        <v>552</v>
      </c>
      <c r="C1" s="108" t="s">
        <v>551</v>
      </c>
      <c r="D1" s="108" t="s">
        <v>550</v>
      </c>
      <c r="E1" s="108" t="s">
        <v>549</v>
      </c>
      <c r="F1" s="108" t="s">
        <v>548</v>
      </c>
      <c r="G1" s="108" t="s">
        <v>547</v>
      </c>
    </row>
    <row r="2" spans="1:7" ht="69.95" customHeight="1">
      <c r="A2" s="109">
        <v>1</v>
      </c>
      <c r="B2" s="110" t="s">
        <v>546</v>
      </c>
      <c r="C2" s="110" t="s">
        <v>545</v>
      </c>
      <c r="D2" s="110" t="s">
        <v>544</v>
      </c>
      <c r="E2" s="110" t="s">
        <v>543</v>
      </c>
      <c r="F2" s="110" t="s">
        <v>542</v>
      </c>
      <c r="G2" s="110" t="s">
        <v>519</v>
      </c>
    </row>
    <row r="3" spans="1:7" ht="69.95" customHeight="1">
      <c r="A3" s="109">
        <v>2</v>
      </c>
      <c r="B3" s="110" t="s">
        <v>541</v>
      </c>
      <c r="C3" s="110" t="s">
        <v>587</v>
      </c>
      <c r="D3" s="110" t="s">
        <v>540</v>
      </c>
      <c r="E3" s="110" t="s">
        <v>539</v>
      </c>
      <c r="F3" s="110" t="s">
        <v>538</v>
      </c>
      <c r="G3" s="110" t="s">
        <v>513</v>
      </c>
    </row>
    <row r="4" spans="1:7" ht="69.95" customHeight="1">
      <c r="A4" s="109">
        <v>3</v>
      </c>
      <c r="B4" s="110" t="s">
        <v>537</v>
      </c>
      <c r="C4" s="110" t="s">
        <v>536</v>
      </c>
      <c r="D4" s="110" t="s">
        <v>535</v>
      </c>
      <c r="E4" s="110" t="s">
        <v>534</v>
      </c>
      <c r="F4" s="110" t="s">
        <v>514</v>
      </c>
      <c r="G4" s="110" t="s">
        <v>513</v>
      </c>
    </row>
    <row r="5" spans="1:7" ht="69.95" customHeight="1">
      <c r="A5" s="109">
        <v>4</v>
      </c>
      <c r="B5" s="110" t="s">
        <v>533</v>
      </c>
      <c r="C5" s="110" t="s">
        <v>532</v>
      </c>
      <c r="D5" s="110" t="s">
        <v>531</v>
      </c>
      <c r="E5" s="110" t="s">
        <v>530</v>
      </c>
      <c r="F5" s="110" t="s">
        <v>525</v>
      </c>
      <c r="G5" s="110" t="s">
        <v>519</v>
      </c>
    </row>
    <row r="6" spans="1:7" ht="69.95" customHeight="1">
      <c r="A6" s="109">
        <v>5</v>
      </c>
      <c r="B6" s="110" t="s">
        <v>529</v>
      </c>
      <c r="C6" s="110" t="s">
        <v>528</v>
      </c>
      <c r="D6" s="110" t="s">
        <v>527</v>
      </c>
      <c r="E6" s="110" t="s">
        <v>526</v>
      </c>
      <c r="F6" s="110" t="s">
        <v>525</v>
      </c>
      <c r="G6" s="110" t="s">
        <v>519</v>
      </c>
    </row>
    <row r="7" spans="1:7" ht="69.95" customHeight="1">
      <c r="A7" s="109">
        <v>6</v>
      </c>
      <c r="B7" s="110" t="s">
        <v>524</v>
      </c>
      <c r="C7" s="110" t="s">
        <v>523</v>
      </c>
      <c r="D7" s="110" t="s">
        <v>522</v>
      </c>
      <c r="E7" s="110" t="s">
        <v>521</v>
      </c>
      <c r="F7" s="110" t="s">
        <v>520</v>
      </c>
      <c r="G7" s="110" t="s">
        <v>519</v>
      </c>
    </row>
    <row r="8" spans="1:7" ht="69.95" customHeight="1">
      <c r="A8" s="109">
        <v>7</v>
      </c>
      <c r="B8" s="110" t="s">
        <v>518</v>
      </c>
      <c r="C8" s="110" t="s">
        <v>517</v>
      </c>
      <c r="D8" s="110" t="s">
        <v>516</v>
      </c>
      <c r="E8" s="110" t="s">
        <v>515</v>
      </c>
      <c r="F8" s="110" t="s">
        <v>514</v>
      </c>
      <c r="G8" s="110" t="s">
        <v>513</v>
      </c>
    </row>
    <row r="10" spans="1:7" ht="18.75">
      <c r="A10" s="19"/>
      <c r="B10" s="19"/>
      <c r="C10" s="19"/>
      <c r="D10" s="19"/>
      <c r="E10" s="19"/>
      <c r="F10" s="19"/>
      <c r="G10" s="19"/>
    </row>
    <row r="11" spans="1:7" ht="20.100000000000001" customHeight="1">
      <c r="A11" s="112" t="s">
        <v>586</v>
      </c>
      <c r="B11" s="113"/>
      <c r="C11" s="113"/>
      <c r="D11" s="113"/>
      <c r="E11" s="113"/>
      <c r="F11" s="113"/>
      <c r="G11" s="113"/>
    </row>
    <row r="12" spans="1:7" ht="21.95" customHeight="1">
      <c r="A12" s="108" t="s">
        <v>585</v>
      </c>
      <c r="B12" s="108" t="s">
        <v>584</v>
      </c>
      <c r="C12" s="108" t="s">
        <v>583</v>
      </c>
      <c r="D12" s="108" t="s">
        <v>582</v>
      </c>
      <c r="E12" s="19"/>
      <c r="F12" s="19"/>
      <c r="G12" s="19"/>
    </row>
    <row r="13" spans="1:7" ht="39.950000000000003" customHeight="1">
      <c r="A13" s="109" t="s">
        <v>581</v>
      </c>
      <c r="B13" s="110" t="s">
        <v>580</v>
      </c>
      <c r="C13" s="111" t="s">
        <v>579</v>
      </c>
      <c r="D13" s="110" t="s">
        <v>578</v>
      </c>
      <c r="E13" s="19"/>
      <c r="F13" s="19"/>
      <c r="G13" s="19"/>
    </row>
    <row r="14" spans="1:7" ht="39.950000000000003" customHeight="1">
      <c r="A14" s="109" t="s">
        <v>577</v>
      </c>
      <c r="B14" s="110" t="s">
        <v>576</v>
      </c>
      <c r="C14" s="111" t="s">
        <v>575</v>
      </c>
      <c r="D14" s="110" t="s">
        <v>574</v>
      </c>
      <c r="E14" s="19"/>
      <c r="F14" s="19"/>
      <c r="G14" s="19"/>
    </row>
    <row r="15" spans="1:7" ht="39.950000000000003" customHeight="1">
      <c r="A15" s="109" t="s">
        <v>573</v>
      </c>
      <c r="B15" s="110" t="s">
        <v>572</v>
      </c>
      <c r="C15" s="111" t="s">
        <v>571</v>
      </c>
      <c r="D15" s="110" t="s">
        <v>570</v>
      </c>
      <c r="E15" s="19"/>
      <c r="F15" s="19"/>
      <c r="G15" s="19"/>
    </row>
    <row r="16" spans="1:7" ht="39.950000000000003" customHeight="1">
      <c r="A16" s="109" t="s">
        <v>569</v>
      </c>
      <c r="B16" s="110" t="s">
        <v>568</v>
      </c>
      <c r="C16" s="111" t="s">
        <v>567</v>
      </c>
      <c r="D16" s="110" t="s">
        <v>566</v>
      </c>
      <c r="E16" s="19"/>
      <c r="F16" s="19"/>
      <c r="G16" s="19"/>
    </row>
    <row r="17" spans="1:7" ht="39.950000000000003" customHeight="1">
      <c r="A17" s="109" t="s">
        <v>565</v>
      </c>
      <c r="B17" s="110" t="s">
        <v>564</v>
      </c>
      <c r="C17" s="111" t="s">
        <v>563</v>
      </c>
      <c r="D17" s="110" t="s">
        <v>562</v>
      </c>
      <c r="E17" s="19"/>
      <c r="F17" s="19"/>
      <c r="G17" s="19"/>
    </row>
    <row r="18" spans="1:7" ht="39.950000000000003" customHeight="1">
      <c r="A18" s="109" t="s">
        <v>561</v>
      </c>
      <c r="B18" s="110" t="s">
        <v>560</v>
      </c>
      <c r="C18" s="111" t="s">
        <v>559</v>
      </c>
      <c r="D18" s="110" t="s">
        <v>558</v>
      </c>
      <c r="E18" s="19"/>
      <c r="F18" s="19"/>
      <c r="G18" s="19"/>
    </row>
    <row r="19" spans="1:7" ht="39.950000000000003" customHeight="1">
      <c r="A19" s="109" t="s">
        <v>557</v>
      </c>
      <c r="B19" s="110" t="s">
        <v>556</v>
      </c>
      <c r="C19" s="111" t="s">
        <v>555</v>
      </c>
      <c r="D19" s="110" t="s">
        <v>554</v>
      </c>
      <c r="E19" s="19"/>
      <c r="F19" s="19"/>
      <c r="G19" s="19"/>
    </row>
  </sheetData>
  <mergeCells count="1">
    <mergeCell ref="A11:G11"/>
  </mergeCells>
  <hyperlinks>
    <hyperlink ref="C13" r:id="rId1" xr:uid="{705872F2-3DDC-4260-94B7-891EEC759D0A}"/>
    <hyperlink ref="C14" r:id="rId2" xr:uid="{BD6CA0CD-E7AA-4D5F-898D-1212CA377B06}"/>
    <hyperlink ref="C15" r:id="rId3" xr:uid="{0CCE1101-4FBE-4655-8748-3E2577110869}"/>
    <hyperlink ref="C16" r:id="rId4" xr:uid="{B97EB114-D954-4FC7-816B-16E06A02ACE3}"/>
    <hyperlink ref="C17" r:id="rId5" xr:uid="{3DE9A943-F0B0-4151-8C43-1E7610F197B1}"/>
    <hyperlink ref="C18" r:id="rId6" xr:uid="{FB301352-34B8-4AA9-A681-EC2899950DA4}"/>
    <hyperlink ref="C19" r:id="rId7" xr:uid="{4DBBCFC4-D7E3-4671-853D-A92E22186775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052A-B957-4E4D-AEDB-87DF33F6F8C1}">
  <dimension ref="B3:C22"/>
  <sheetViews>
    <sheetView tabSelected="1" workbookViewId="0">
      <selection activeCell="B19" sqref="B19"/>
    </sheetView>
  </sheetViews>
  <sheetFormatPr defaultRowHeight="15"/>
  <cols>
    <col min="1" max="1" width="33.7109375" customWidth="1"/>
    <col min="2" max="2" width="87.140625" customWidth="1"/>
    <col min="3" max="3" width="26" customWidth="1"/>
    <col min="4" max="4" width="29.5703125" customWidth="1"/>
    <col min="5" max="5" width="12.28515625" customWidth="1"/>
  </cols>
  <sheetData>
    <row r="3" spans="2:3" ht="28.5">
      <c r="B3" s="76" t="s">
        <v>151</v>
      </c>
      <c r="C3" s="76"/>
    </row>
    <row r="5" spans="2:3" ht="21">
      <c r="B5" s="17" t="s">
        <v>149</v>
      </c>
      <c r="C5" s="17" t="s">
        <v>150</v>
      </c>
    </row>
    <row r="6" spans="2:3" ht="21">
      <c r="B6" s="39" t="s">
        <v>256</v>
      </c>
      <c r="C6" s="39">
        <v>9001</v>
      </c>
    </row>
    <row r="7" spans="2:3" ht="21">
      <c r="B7" s="39" t="s">
        <v>257</v>
      </c>
      <c r="C7" s="39">
        <v>9003</v>
      </c>
    </row>
    <row r="8" spans="2:3" ht="21">
      <c r="B8" s="39" t="s">
        <v>258</v>
      </c>
      <c r="C8" s="39">
        <v>9005</v>
      </c>
    </row>
    <row r="9" spans="2:3" ht="21">
      <c r="B9" s="39" t="s">
        <v>253</v>
      </c>
      <c r="C9" s="39">
        <v>9007</v>
      </c>
    </row>
    <row r="10" spans="2:3" ht="21">
      <c r="B10" s="39" t="s">
        <v>254</v>
      </c>
      <c r="C10" s="39">
        <v>9009</v>
      </c>
    </row>
    <row r="11" spans="2:3" ht="21">
      <c r="B11" s="39" t="s">
        <v>255</v>
      </c>
      <c r="C11" s="39">
        <v>9011</v>
      </c>
    </row>
    <row r="12" spans="2:3" ht="21">
      <c r="B12" s="39" t="s">
        <v>259</v>
      </c>
      <c r="C12" s="39">
        <v>9019</v>
      </c>
    </row>
    <row r="13" spans="2:3" ht="21">
      <c r="B13" s="39" t="s">
        <v>260</v>
      </c>
      <c r="C13" s="39">
        <v>9021</v>
      </c>
    </row>
    <row r="14" spans="2:3" ht="21">
      <c r="B14" s="39" t="s">
        <v>261</v>
      </c>
      <c r="C14" s="39">
        <v>9023</v>
      </c>
    </row>
    <row r="15" spans="2:3" ht="21">
      <c r="B15" s="39" t="s">
        <v>262</v>
      </c>
      <c r="C15" s="39">
        <v>9025</v>
      </c>
    </row>
    <row r="16" spans="2:3" ht="21">
      <c r="B16" s="39" t="s">
        <v>263</v>
      </c>
      <c r="C16" s="39">
        <v>9027</v>
      </c>
    </row>
    <row r="17" spans="2:3" ht="21">
      <c r="B17" s="39" t="s">
        <v>264</v>
      </c>
      <c r="C17" s="39">
        <v>9029</v>
      </c>
    </row>
    <row r="18" spans="2:3" ht="21">
      <c r="B18" s="39" t="s">
        <v>265</v>
      </c>
      <c r="C18" s="39">
        <v>9031</v>
      </c>
    </row>
    <row r="19" spans="2:3" ht="21">
      <c r="B19" s="39" t="s">
        <v>266</v>
      </c>
      <c r="C19" s="39">
        <v>9033</v>
      </c>
    </row>
    <row r="20" spans="2:3" ht="21">
      <c r="B20" s="39" t="s">
        <v>267</v>
      </c>
      <c r="C20" s="39">
        <v>9035</v>
      </c>
    </row>
    <row r="21" spans="2:3" ht="21">
      <c r="B21" s="39" t="s">
        <v>200</v>
      </c>
      <c r="C21" s="39">
        <v>9037</v>
      </c>
    </row>
    <row r="22" spans="2:3" ht="21">
      <c r="B22" s="39" t="s">
        <v>197</v>
      </c>
      <c r="C22" s="39">
        <v>9043</v>
      </c>
    </row>
  </sheetData>
  <mergeCells count="1"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B1AD-6CD3-488F-A8ED-8F8C28F03177}">
  <dimension ref="B1:L23"/>
  <sheetViews>
    <sheetView workbookViewId="0">
      <selection activeCell="B1" sqref="B1:C2"/>
    </sheetView>
  </sheetViews>
  <sheetFormatPr defaultRowHeight="15"/>
  <cols>
    <col min="2" max="2" width="60.140625" customWidth="1"/>
    <col min="3" max="3" width="50.7109375" style="12" customWidth="1"/>
    <col min="4" max="4" width="16.7109375" customWidth="1"/>
  </cols>
  <sheetData>
    <row r="1" spans="2:12">
      <c r="B1" s="77" t="s">
        <v>151</v>
      </c>
      <c r="C1" s="77"/>
    </row>
    <row r="2" spans="2:12">
      <c r="B2" s="77"/>
      <c r="C2" s="77"/>
    </row>
    <row r="4" spans="2:12" ht="21">
      <c r="B4" s="17" t="s">
        <v>149</v>
      </c>
      <c r="C4" s="17" t="s">
        <v>150</v>
      </c>
      <c r="D4" s="20" t="s">
        <v>152</v>
      </c>
    </row>
    <row r="5" spans="2:12" ht="18.75">
      <c r="B5" s="16" t="s">
        <v>125</v>
      </c>
      <c r="C5" s="14">
        <v>0</v>
      </c>
      <c r="D5" s="21">
        <v>0.1</v>
      </c>
      <c r="F5" s="78" t="s">
        <v>153</v>
      </c>
      <c r="G5" s="79"/>
      <c r="H5" s="79"/>
      <c r="I5" s="79"/>
      <c r="J5" s="79"/>
      <c r="K5" s="79"/>
      <c r="L5" s="79"/>
    </row>
    <row r="6" spans="2:12" ht="18.75">
      <c r="B6" s="16" t="s">
        <v>126</v>
      </c>
      <c r="C6" s="14">
        <v>1</v>
      </c>
      <c r="D6" s="21">
        <v>0.1</v>
      </c>
      <c r="F6" s="79"/>
      <c r="G6" s="79"/>
      <c r="H6" s="79"/>
      <c r="I6" s="79"/>
      <c r="J6" s="79"/>
      <c r="K6" s="79"/>
      <c r="L6" s="79"/>
    </row>
    <row r="7" spans="2:12" ht="18.75">
      <c r="B7" s="16" t="s">
        <v>127</v>
      </c>
      <c r="C7" s="14">
        <v>15</v>
      </c>
      <c r="D7" s="21">
        <v>1</v>
      </c>
      <c r="F7" s="79"/>
      <c r="G7" s="79"/>
      <c r="H7" s="79"/>
      <c r="I7" s="79"/>
      <c r="J7" s="79"/>
      <c r="K7" s="79"/>
      <c r="L7" s="79"/>
    </row>
    <row r="8" spans="2:12" ht="18.75">
      <c r="B8" s="16" t="s">
        <v>128</v>
      </c>
      <c r="C8" s="14">
        <v>16</v>
      </c>
      <c r="D8" s="21">
        <v>0.1</v>
      </c>
      <c r="F8" s="79"/>
      <c r="G8" s="79"/>
      <c r="H8" s="79"/>
      <c r="I8" s="79"/>
      <c r="J8" s="79"/>
      <c r="K8" s="79"/>
      <c r="L8" s="79"/>
    </row>
    <row r="9" spans="2:12" ht="18.75">
      <c r="B9" s="16" t="s">
        <v>129</v>
      </c>
      <c r="C9" s="14">
        <v>6</v>
      </c>
      <c r="D9" s="21">
        <v>0.1</v>
      </c>
      <c r="F9" s="79"/>
      <c r="G9" s="79"/>
      <c r="H9" s="79"/>
      <c r="I9" s="79"/>
      <c r="J9" s="79"/>
      <c r="K9" s="79"/>
      <c r="L9" s="79"/>
    </row>
    <row r="10" spans="2:12" ht="18.75">
      <c r="B10" s="16" t="s">
        <v>130</v>
      </c>
      <c r="C10" s="14">
        <v>7</v>
      </c>
      <c r="D10" s="21">
        <v>0.1</v>
      </c>
      <c r="F10" s="79"/>
      <c r="G10" s="79"/>
      <c r="H10" s="79"/>
      <c r="I10" s="79"/>
      <c r="J10" s="79"/>
      <c r="K10" s="79"/>
      <c r="L10" s="79"/>
    </row>
    <row r="11" spans="2:12" ht="18.75">
      <c r="B11" s="16" t="s">
        <v>131</v>
      </c>
      <c r="C11" s="14">
        <v>17</v>
      </c>
      <c r="D11" s="21">
        <v>0.1</v>
      </c>
      <c r="F11" s="79"/>
      <c r="G11" s="79"/>
      <c r="H11" s="79"/>
      <c r="I11" s="79"/>
      <c r="J11" s="79"/>
      <c r="K11" s="79"/>
      <c r="L11" s="79"/>
    </row>
    <row r="12" spans="2:12" ht="18.75">
      <c r="B12" s="16" t="s">
        <v>132</v>
      </c>
      <c r="C12" s="14" t="s">
        <v>144</v>
      </c>
      <c r="D12" s="21">
        <v>1</v>
      </c>
      <c r="F12" s="79"/>
      <c r="G12" s="79"/>
      <c r="H12" s="79"/>
      <c r="I12" s="79"/>
      <c r="J12" s="79"/>
      <c r="K12" s="79"/>
      <c r="L12" s="79"/>
    </row>
    <row r="13" spans="2:12" ht="18.75">
      <c r="B13" s="16" t="s">
        <v>133</v>
      </c>
      <c r="C13" s="14" t="s">
        <v>145</v>
      </c>
      <c r="D13" s="21">
        <v>1</v>
      </c>
      <c r="F13" s="79"/>
      <c r="G13" s="79"/>
      <c r="H13" s="79"/>
      <c r="I13" s="79"/>
      <c r="J13" s="79"/>
      <c r="K13" s="79"/>
      <c r="L13" s="79"/>
    </row>
    <row r="14" spans="2:12" ht="18.75">
      <c r="B14" s="16" t="s">
        <v>134</v>
      </c>
      <c r="C14" s="14" t="s">
        <v>147</v>
      </c>
      <c r="D14" s="21">
        <v>1E-3</v>
      </c>
      <c r="F14" s="79"/>
      <c r="G14" s="79"/>
      <c r="H14" s="79"/>
      <c r="I14" s="79"/>
      <c r="J14" s="79"/>
      <c r="K14" s="79"/>
      <c r="L14" s="79"/>
    </row>
    <row r="15" spans="2:12" ht="18.75">
      <c r="B15" s="16" t="s">
        <v>135</v>
      </c>
      <c r="C15" s="14" t="s">
        <v>146</v>
      </c>
      <c r="D15" s="21">
        <v>1E-3</v>
      </c>
    </row>
    <row r="16" spans="2:12" ht="18.75">
      <c r="B16" s="16" t="s">
        <v>136</v>
      </c>
      <c r="C16" s="14" t="s">
        <v>148</v>
      </c>
      <c r="D16" s="21">
        <v>1E-3</v>
      </c>
    </row>
    <row r="17" spans="2:4" ht="18.75">
      <c r="B17" s="16" t="s">
        <v>137</v>
      </c>
      <c r="C17" s="14">
        <v>20</v>
      </c>
      <c r="D17" s="21">
        <v>1E-3</v>
      </c>
    </row>
    <row r="18" spans="2:4" ht="18.75">
      <c r="B18" s="16" t="s">
        <v>138</v>
      </c>
      <c r="C18" s="14">
        <v>23</v>
      </c>
      <c r="D18" s="21">
        <v>1</v>
      </c>
    </row>
    <row r="19" spans="2:4" ht="18.75">
      <c r="B19" s="16" t="s">
        <v>139</v>
      </c>
      <c r="C19" s="14">
        <v>24</v>
      </c>
      <c r="D19" s="21">
        <v>1E-3</v>
      </c>
    </row>
    <row r="20" spans="2:4" ht="18.75">
      <c r="B20" s="16" t="s">
        <v>140</v>
      </c>
      <c r="C20" s="14">
        <v>25</v>
      </c>
      <c r="D20" s="21">
        <v>1E-3</v>
      </c>
    </row>
    <row r="21" spans="2:4" ht="18.75">
      <c r="B21" s="16" t="s">
        <v>141</v>
      </c>
      <c r="C21" s="14">
        <v>26</v>
      </c>
      <c r="D21" s="21">
        <v>1E-3</v>
      </c>
    </row>
    <row r="22" spans="2:4" ht="18.75">
      <c r="B22" s="16" t="s">
        <v>142</v>
      </c>
      <c r="C22" s="14">
        <v>28</v>
      </c>
      <c r="D22" s="21">
        <v>1E-3</v>
      </c>
    </row>
    <row r="23" spans="2:4" ht="18.75">
      <c r="B23" s="16" t="s">
        <v>143</v>
      </c>
      <c r="C23" s="14">
        <v>29</v>
      </c>
      <c r="D23" s="21">
        <v>1E-3</v>
      </c>
    </row>
  </sheetData>
  <mergeCells count="2">
    <mergeCell ref="B1:C2"/>
    <mergeCell ref="F5:L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FE9E-FE16-4F72-BAD0-EE7114A79784}">
  <dimension ref="A5:N36"/>
  <sheetViews>
    <sheetView topLeftCell="A4" workbookViewId="0">
      <selection activeCell="C5" sqref="C5:D5"/>
    </sheetView>
  </sheetViews>
  <sheetFormatPr defaultRowHeight="15"/>
  <cols>
    <col min="1" max="1" width="62.140625" customWidth="1"/>
    <col min="2" max="2" width="50.7109375" customWidth="1"/>
    <col min="3" max="3" width="21.28515625" customWidth="1"/>
    <col min="4" max="4" width="35.5703125" customWidth="1"/>
    <col min="6" max="6" width="32.28515625" customWidth="1"/>
    <col min="10" max="10" width="44" customWidth="1"/>
  </cols>
  <sheetData>
    <row r="5" spans="1:14" ht="21">
      <c r="B5" s="30" t="s">
        <v>231</v>
      </c>
      <c r="C5" s="20" t="s">
        <v>154</v>
      </c>
      <c r="D5" s="20" t="s">
        <v>167</v>
      </c>
    </row>
    <row r="6" spans="1:14">
      <c r="B6" s="12" t="s">
        <v>166</v>
      </c>
      <c r="C6">
        <v>175.04</v>
      </c>
      <c r="D6">
        <v>2804</v>
      </c>
    </row>
    <row r="7" spans="1:14">
      <c r="A7" s="22"/>
      <c r="B7" s="24" t="s">
        <v>165</v>
      </c>
      <c r="C7">
        <v>175.05</v>
      </c>
      <c r="D7">
        <v>2805</v>
      </c>
    </row>
    <row r="8" spans="1:14">
      <c r="A8" s="22"/>
      <c r="B8" s="24" t="s">
        <v>168</v>
      </c>
      <c r="C8">
        <v>171.06</v>
      </c>
      <c r="D8">
        <v>2742</v>
      </c>
    </row>
    <row r="9" spans="1:14">
      <c r="A9" s="22"/>
      <c r="B9" s="24" t="s">
        <v>169</v>
      </c>
      <c r="C9">
        <v>171.1</v>
      </c>
      <c r="D9">
        <v>2746</v>
      </c>
    </row>
    <row r="10" spans="1:14">
      <c r="A10" s="22"/>
      <c r="B10" s="24" t="s">
        <v>174</v>
      </c>
      <c r="C10">
        <v>178.02</v>
      </c>
      <c r="D10">
        <v>2850</v>
      </c>
    </row>
    <row r="11" spans="1:14">
      <c r="A11" t="s">
        <v>179</v>
      </c>
      <c r="B11" s="24" t="s">
        <v>155</v>
      </c>
      <c r="C11">
        <v>129</v>
      </c>
    </row>
    <row r="12" spans="1:14">
      <c r="A12" s="22"/>
      <c r="B12" s="24" t="s">
        <v>156</v>
      </c>
      <c r="C12">
        <v>170</v>
      </c>
      <c r="D12">
        <v>2720</v>
      </c>
      <c r="F12" s="80" t="s">
        <v>232</v>
      </c>
      <c r="G12" s="80"/>
      <c r="H12" s="80"/>
      <c r="I12" s="80"/>
      <c r="J12" s="80"/>
      <c r="K12" s="80"/>
      <c r="L12" s="80"/>
      <c r="M12" s="80"/>
      <c r="N12" s="80"/>
    </row>
    <row r="13" spans="1:14">
      <c r="A13" s="22"/>
      <c r="B13" s="12" t="s">
        <v>175</v>
      </c>
      <c r="C13">
        <v>175.01</v>
      </c>
      <c r="D13">
        <v>2801</v>
      </c>
      <c r="F13" s="80"/>
      <c r="G13" s="80"/>
      <c r="H13" s="80"/>
      <c r="I13" s="80"/>
      <c r="J13" s="80"/>
      <c r="K13" s="80"/>
      <c r="L13" s="80"/>
      <c r="M13" s="80"/>
      <c r="N13" s="80"/>
    </row>
    <row r="14" spans="1:14">
      <c r="A14" s="22"/>
      <c r="B14" s="24" t="s">
        <v>176</v>
      </c>
      <c r="C14">
        <v>175.02</v>
      </c>
      <c r="D14">
        <v>2802</v>
      </c>
      <c r="F14" s="80"/>
      <c r="G14" s="80"/>
      <c r="H14" s="80"/>
      <c r="I14" s="80"/>
      <c r="J14" s="80"/>
      <c r="K14" s="80"/>
      <c r="L14" s="80"/>
      <c r="M14" s="80"/>
      <c r="N14" s="80"/>
    </row>
    <row r="15" spans="1:14">
      <c r="A15" s="22"/>
      <c r="B15" s="12" t="s">
        <v>177</v>
      </c>
      <c r="C15">
        <v>175.07</v>
      </c>
      <c r="D15">
        <v>2807</v>
      </c>
      <c r="F15" s="80"/>
      <c r="G15" s="80"/>
      <c r="H15" s="80"/>
      <c r="I15" s="80"/>
      <c r="J15" s="80"/>
      <c r="K15" s="80"/>
      <c r="L15" s="80"/>
      <c r="M15" s="80"/>
      <c r="N15" s="80"/>
    </row>
    <row r="16" spans="1:14">
      <c r="A16" s="22"/>
      <c r="B16" s="24" t="s">
        <v>178</v>
      </c>
      <c r="C16">
        <v>175.08</v>
      </c>
      <c r="D16">
        <v>2808</v>
      </c>
      <c r="F16" s="80"/>
      <c r="G16" s="80"/>
      <c r="H16" s="80"/>
      <c r="I16" s="80"/>
      <c r="J16" s="80"/>
      <c r="K16" s="80"/>
      <c r="L16" s="80"/>
      <c r="M16" s="80"/>
      <c r="N16" s="80"/>
    </row>
    <row r="17" spans="1:4">
      <c r="A17" s="22"/>
      <c r="B17" s="24" t="s">
        <v>157</v>
      </c>
      <c r="C17" t="s">
        <v>230</v>
      </c>
    </row>
    <row r="18" spans="1:4">
      <c r="A18" s="22"/>
      <c r="B18" s="24" t="s">
        <v>158</v>
      </c>
      <c r="C18" t="s">
        <v>230</v>
      </c>
    </row>
    <row r="19" spans="1:4">
      <c r="A19" s="22"/>
      <c r="B19" s="24" t="s">
        <v>159</v>
      </c>
      <c r="C19" t="s">
        <v>230</v>
      </c>
    </row>
    <row r="20" spans="1:4">
      <c r="A20" s="22"/>
      <c r="B20" s="24" t="s">
        <v>160</v>
      </c>
      <c r="C20" t="s">
        <v>230</v>
      </c>
    </row>
    <row r="21" spans="1:4">
      <c r="A21" t="s">
        <v>180</v>
      </c>
      <c r="B21" s="24" t="s">
        <v>181</v>
      </c>
      <c r="C21">
        <v>128</v>
      </c>
    </row>
    <row r="22" spans="1:4">
      <c r="A22" t="s">
        <v>180</v>
      </c>
      <c r="B22" s="24" t="s">
        <v>182</v>
      </c>
      <c r="C22">
        <v>128.01</v>
      </c>
    </row>
    <row r="23" spans="1:4">
      <c r="B23" s="24" t="s">
        <v>161</v>
      </c>
    </row>
    <row r="24" spans="1:4">
      <c r="B24" s="25" t="s">
        <v>184</v>
      </c>
      <c r="C24">
        <v>189.1</v>
      </c>
      <c r="D24">
        <v>3034</v>
      </c>
    </row>
    <row r="25" spans="1:4">
      <c r="A25" s="22"/>
      <c r="B25" s="25" t="s">
        <v>185</v>
      </c>
      <c r="C25">
        <v>188.06</v>
      </c>
      <c r="D25">
        <v>3014</v>
      </c>
    </row>
    <row r="26" spans="1:4">
      <c r="A26" s="22"/>
      <c r="B26" s="25" t="s">
        <v>186</v>
      </c>
      <c r="C26">
        <v>189</v>
      </c>
      <c r="D26">
        <v>3024</v>
      </c>
    </row>
    <row r="27" spans="1:4">
      <c r="A27" s="22"/>
      <c r="B27" s="25" t="s">
        <v>187</v>
      </c>
      <c r="C27">
        <v>196</v>
      </c>
      <c r="D27">
        <v>3136</v>
      </c>
    </row>
    <row r="28" spans="1:4">
      <c r="A28" t="s">
        <v>183</v>
      </c>
      <c r="B28" s="25" t="s">
        <v>162</v>
      </c>
      <c r="C28">
        <v>181.12</v>
      </c>
      <c r="D28">
        <v>2908</v>
      </c>
    </row>
    <row r="29" spans="1:4">
      <c r="B29" s="25" t="s">
        <v>163</v>
      </c>
    </row>
    <row r="30" spans="1:4">
      <c r="B30" s="25" t="s">
        <v>173</v>
      </c>
      <c r="C30">
        <v>191.04</v>
      </c>
      <c r="D30">
        <v>3060</v>
      </c>
    </row>
    <row r="32" spans="1:4">
      <c r="B32" s="25" t="s">
        <v>164</v>
      </c>
      <c r="C32">
        <v>182.1</v>
      </c>
      <c r="D32">
        <v>2922</v>
      </c>
    </row>
    <row r="33" spans="1:4">
      <c r="B33" s="25" t="s">
        <v>170</v>
      </c>
      <c r="C33">
        <v>176.12</v>
      </c>
      <c r="D33">
        <v>2828</v>
      </c>
    </row>
    <row r="34" spans="1:4">
      <c r="B34" s="25" t="s">
        <v>171</v>
      </c>
      <c r="C34">
        <v>176.14</v>
      </c>
      <c r="D34">
        <v>2830</v>
      </c>
    </row>
    <row r="35" spans="1:4">
      <c r="B35" s="25" t="s">
        <v>172</v>
      </c>
      <c r="C35">
        <v>177</v>
      </c>
      <c r="D35">
        <v>2832</v>
      </c>
    </row>
    <row r="36" spans="1:4">
      <c r="A36" s="26" t="s">
        <v>179</v>
      </c>
      <c r="B36" s="24" t="s">
        <v>156</v>
      </c>
      <c r="C36">
        <v>129.02000000000001</v>
      </c>
    </row>
  </sheetData>
  <mergeCells count="1">
    <mergeCell ref="F12:N16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A93A-D5CD-4481-B460-98EC55F20D25}">
  <dimension ref="A1:L39"/>
  <sheetViews>
    <sheetView zoomScale="85" zoomScaleNormal="85" workbookViewId="0">
      <selection activeCell="A13" sqref="A13"/>
    </sheetView>
  </sheetViews>
  <sheetFormatPr defaultRowHeight="15"/>
  <cols>
    <col min="1" max="1" width="59.5703125" customWidth="1"/>
    <col min="2" max="2" width="18.42578125" customWidth="1"/>
    <col min="3" max="3" width="29.42578125" customWidth="1"/>
    <col min="4" max="4" width="31.140625" customWidth="1"/>
  </cols>
  <sheetData>
    <row r="1" spans="1:12" ht="18.75">
      <c r="B1" s="14" t="s">
        <v>229</v>
      </c>
    </row>
    <row r="3" spans="1:12" ht="18.75">
      <c r="A3" s="20" t="s">
        <v>188</v>
      </c>
      <c r="B3" s="23" t="s">
        <v>189</v>
      </c>
      <c r="C3" s="20" t="s">
        <v>190</v>
      </c>
      <c r="D3" s="20" t="s">
        <v>192</v>
      </c>
    </row>
    <row r="4" spans="1:12" ht="18.75">
      <c r="A4" s="27" t="s">
        <v>193</v>
      </c>
      <c r="B4" s="19">
        <v>27</v>
      </c>
      <c r="C4" s="19" t="s">
        <v>194</v>
      </c>
      <c r="D4" s="14">
        <f>B4+51</f>
        <v>78</v>
      </c>
      <c r="F4" s="81" t="s">
        <v>191</v>
      </c>
      <c r="G4" s="80"/>
      <c r="H4" s="80"/>
      <c r="I4" s="80"/>
      <c r="J4" s="80"/>
      <c r="K4" s="80"/>
      <c r="L4" s="80"/>
    </row>
    <row r="5" spans="1:12" ht="18.75">
      <c r="A5" s="28" t="s">
        <v>195</v>
      </c>
      <c r="B5" s="19">
        <v>28</v>
      </c>
      <c r="C5" s="19" t="s">
        <v>194</v>
      </c>
      <c r="D5" s="14">
        <f>B5+51</f>
        <v>79</v>
      </c>
      <c r="F5" s="80"/>
      <c r="G5" s="80"/>
      <c r="H5" s="80"/>
      <c r="I5" s="80"/>
      <c r="J5" s="80"/>
      <c r="K5" s="80"/>
      <c r="L5" s="80"/>
    </row>
    <row r="6" spans="1:12" ht="18.75">
      <c r="A6" s="28" t="s">
        <v>196</v>
      </c>
      <c r="B6" s="19"/>
      <c r="C6" s="19"/>
      <c r="D6" s="14"/>
      <c r="F6" s="80"/>
      <c r="G6" s="80"/>
      <c r="H6" s="80"/>
      <c r="I6" s="80"/>
      <c r="J6" s="80"/>
      <c r="K6" s="80"/>
      <c r="L6" s="80"/>
    </row>
    <row r="7" spans="1:12" ht="18.75">
      <c r="A7" s="28" t="s">
        <v>197</v>
      </c>
      <c r="B7" s="19">
        <v>29</v>
      </c>
      <c r="C7" s="19" t="s">
        <v>194</v>
      </c>
      <c r="D7" s="14">
        <f t="shared" ref="D7:D37" si="0">B7+51</f>
        <v>80</v>
      </c>
      <c r="F7" s="80"/>
      <c r="G7" s="80"/>
      <c r="H7" s="80"/>
      <c r="I7" s="80"/>
      <c r="J7" s="80"/>
      <c r="K7" s="80"/>
      <c r="L7" s="80"/>
    </row>
    <row r="8" spans="1:12" ht="18.75">
      <c r="A8" s="28" t="s">
        <v>198</v>
      </c>
      <c r="B8" s="19">
        <v>19</v>
      </c>
      <c r="C8" s="19" t="s">
        <v>194</v>
      </c>
      <c r="D8" s="14">
        <f t="shared" si="0"/>
        <v>70</v>
      </c>
      <c r="F8" s="80"/>
      <c r="G8" s="80"/>
      <c r="H8" s="80"/>
      <c r="I8" s="80"/>
      <c r="J8" s="80"/>
      <c r="K8" s="80"/>
      <c r="L8" s="80"/>
    </row>
    <row r="9" spans="1:12" ht="18.75">
      <c r="A9" s="28" t="s">
        <v>199</v>
      </c>
      <c r="B9" s="19">
        <v>23</v>
      </c>
      <c r="C9" s="19" t="s">
        <v>194</v>
      </c>
      <c r="D9" s="14">
        <f t="shared" si="0"/>
        <v>74</v>
      </c>
      <c r="F9" s="80"/>
      <c r="G9" s="80"/>
      <c r="H9" s="80"/>
      <c r="I9" s="80"/>
      <c r="J9" s="80"/>
      <c r="K9" s="80"/>
      <c r="L9" s="80"/>
    </row>
    <row r="10" spans="1:12" ht="18.75">
      <c r="A10" s="28" t="s">
        <v>200</v>
      </c>
      <c r="B10" s="19">
        <v>26</v>
      </c>
      <c r="C10" s="19" t="s">
        <v>194</v>
      </c>
      <c r="D10" s="14">
        <f t="shared" si="0"/>
        <v>77</v>
      </c>
      <c r="F10" s="80"/>
      <c r="G10" s="80"/>
      <c r="H10" s="80"/>
      <c r="I10" s="80"/>
      <c r="J10" s="80"/>
      <c r="K10" s="80"/>
      <c r="L10" s="80"/>
    </row>
    <row r="11" spans="1:12" ht="18.75">
      <c r="A11" s="28" t="s">
        <v>201</v>
      </c>
      <c r="B11" s="19">
        <v>1</v>
      </c>
      <c r="C11" s="19" t="s">
        <v>194</v>
      </c>
      <c r="D11" s="14">
        <f t="shared" si="0"/>
        <v>52</v>
      </c>
      <c r="F11" s="80"/>
      <c r="G11" s="80"/>
      <c r="H11" s="80"/>
      <c r="I11" s="80"/>
      <c r="J11" s="80"/>
      <c r="K11" s="80"/>
      <c r="L11" s="80"/>
    </row>
    <row r="12" spans="1:12" ht="18.75">
      <c r="A12" s="28" t="s">
        <v>202</v>
      </c>
      <c r="B12" s="19">
        <v>11</v>
      </c>
      <c r="C12" s="19" t="s">
        <v>194</v>
      </c>
      <c r="D12" s="14">
        <f t="shared" si="0"/>
        <v>62</v>
      </c>
      <c r="F12" s="80"/>
      <c r="G12" s="80"/>
      <c r="H12" s="80"/>
      <c r="I12" s="80"/>
      <c r="J12" s="80"/>
      <c r="K12" s="80"/>
      <c r="L12" s="80"/>
    </row>
    <row r="13" spans="1:12" ht="18.75">
      <c r="A13" s="28" t="s">
        <v>203</v>
      </c>
      <c r="B13" s="19"/>
      <c r="C13" s="19"/>
      <c r="D13" s="14"/>
      <c r="F13" s="80"/>
      <c r="G13" s="80"/>
      <c r="H13" s="80"/>
      <c r="I13" s="80"/>
      <c r="J13" s="80"/>
      <c r="K13" s="80"/>
      <c r="L13" s="80"/>
    </row>
    <row r="14" spans="1:12" ht="18.75">
      <c r="A14" s="28" t="s">
        <v>204</v>
      </c>
      <c r="B14" s="19">
        <v>32</v>
      </c>
      <c r="C14" s="19" t="s">
        <v>194</v>
      </c>
      <c r="D14" s="14">
        <f t="shared" si="0"/>
        <v>83</v>
      </c>
    </row>
    <row r="15" spans="1:12" ht="18.75">
      <c r="A15" s="28" t="s">
        <v>205</v>
      </c>
      <c r="B15" s="19">
        <v>33</v>
      </c>
      <c r="C15" s="19" t="s">
        <v>194</v>
      </c>
      <c r="D15" s="14">
        <f t="shared" si="0"/>
        <v>84</v>
      </c>
    </row>
    <row r="16" spans="1:12" ht="18.75">
      <c r="A16" s="28" t="s">
        <v>206</v>
      </c>
      <c r="B16" s="19">
        <v>34</v>
      </c>
      <c r="C16" s="19" t="s">
        <v>194</v>
      </c>
      <c r="D16" s="14">
        <f t="shared" si="0"/>
        <v>85</v>
      </c>
    </row>
    <row r="17" spans="1:4" ht="18.75">
      <c r="A17" s="28" t="s">
        <v>207</v>
      </c>
      <c r="B17" s="19">
        <v>49</v>
      </c>
      <c r="C17" s="19" t="s">
        <v>194</v>
      </c>
      <c r="D17" s="14">
        <f t="shared" si="0"/>
        <v>100</v>
      </c>
    </row>
    <row r="18" spans="1:4" ht="18.75">
      <c r="A18" s="28" t="s">
        <v>208</v>
      </c>
      <c r="B18" s="23">
        <v>40</v>
      </c>
      <c r="C18" s="19" t="s">
        <v>209</v>
      </c>
      <c r="D18" s="14">
        <f t="shared" si="0"/>
        <v>91</v>
      </c>
    </row>
    <row r="19" spans="1:4" ht="18.75">
      <c r="A19" s="28" t="s">
        <v>210</v>
      </c>
      <c r="B19" s="19">
        <v>1</v>
      </c>
      <c r="C19" s="19" t="s">
        <v>209</v>
      </c>
      <c r="D19" s="14">
        <f t="shared" si="0"/>
        <v>52</v>
      </c>
    </row>
    <row r="20" spans="1:4" ht="18.75">
      <c r="A20" s="28" t="s">
        <v>211</v>
      </c>
      <c r="B20" s="19"/>
      <c r="C20" s="19"/>
      <c r="D20" s="14"/>
    </row>
    <row r="21" spans="1:4" ht="18.75">
      <c r="A21" s="28" t="s">
        <v>212</v>
      </c>
      <c r="B21" s="19"/>
      <c r="C21" s="19"/>
      <c r="D21" s="14"/>
    </row>
    <row r="22" spans="1:4" ht="18.75">
      <c r="A22" s="28" t="s">
        <v>213</v>
      </c>
      <c r="B22" s="19"/>
      <c r="C22" s="19"/>
      <c r="D22" s="14"/>
    </row>
    <row r="23" spans="1:4" ht="18.75">
      <c r="A23" s="28" t="s">
        <v>214</v>
      </c>
      <c r="B23" s="19"/>
      <c r="C23" s="19"/>
      <c r="D23" s="14"/>
    </row>
    <row r="24" spans="1:4" ht="18.75">
      <c r="A24" s="28" t="s">
        <v>215</v>
      </c>
      <c r="B24" s="19"/>
      <c r="C24" s="19"/>
      <c r="D24" s="14"/>
    </row>
    <row r="25" spans="1:4" ht="18.75">
      <c r="A25" s="28" t="s">
        <v>216</v>
      </c>
      <c r="B25" s="19">
        <v>24</v>
      </c>
      <c r="C25" s="19" t="s">
        <v>209</v>
      </c>
      <c r="D25" s="14">
        <f t="shared" si="0"/>
        <v>75</v>
      </c>
    </row>
    <row r="26" spans="1:4" ht="18.75">
      <c r="A26" s="28" t="s">
        <v>217</v>
      </c>
      <c r="B26" s="19">
        <v>42</v>
      </c>
      <c r="C26" s="19" t="s">
        <v>209</v>
      </c>
      <c r="D26" s="14">
        <f t="shared" si="0"/>
        <v>93</v>
      </c>
    </row>
    <row r="27" spans="1:4" ht="18.75">
      <c r="A27" s="28" t="s">
        <v>218</v>
      </c>
      <c r="B27" s="19">
        <v>22</v>
      </c>
      <c r="C27" s="19" t="s">
        <v>209</v>
      </c>
      <c r="D27" s="14">
        <f t="shared" si="0"/>
        <v>73</v>
      </c>
    </row>
    <row r="28" spans="1:4" ht="18.75">
      <c r="A28" s="28" t="s">
        <v>219</v>
      </c>
      <c r="B28" s="19">
        <v>21</v>
      </c>
      <c r="C28" s="19" t="s">
        <v>209</v>
      </c>
      <c r="D28" s="14">
        <f t="shared" si="0"/>
        <v>72</v>
      </c>
    </row>
    <row r="29" spans="1:4" ht="18.75">
      <c r="A29" s="28" t="s">
        <v>220</v>
      </c>
      <c r="B29" s="19">
        <v>13</v>
      </c>
      <c r="C29" s="19" t="s">
        <v>209</v>
      </c>
      <c r="D29" s="14">
        <f t="shared" si="0"/>
        <v>64</v>
      </c>
    </row>
    <row r="30" spans="1:4" ht="18.75">
      <c r="A30" s="28" t="s">
        <v>221</v>
      </c>
      <c r="B30" s="19">
        <v>12</v>
      </c>
      <c r="C30" s="19" t="s">
        <v>209</v>
      </c>
      <c r="D30" s="14">
        <f t="shared" si="0"/>
        <v>63</v>
      </c>
    </row>
    <row r="31" spans="1:4" ht="18.75">
      <c r="A31" s="28" t="s">
        <v>42</v>
      </c>
      <c r="B31" s="19">
        <v>15</v>
      </c>
      <c r="C31" s="19" t="s">
        <v>209</v>
      </c>
      <c r="D31" s="14">
        <f t="shared" si="0"/>
        <v>66</v>
      </c>
    </row>
    <row r="32" spans="1:4" ht="18.75">
      <c r="A32" s="28" t="s">
        <v>44</v>
      </c>
      <c r="B32" s="19">
        <v>16</v>
      </c>
      <c r="C32" s="19" t="s">
        <v>209</v>
      </c>
      <c r="D32" s="14">
        <f t="shared" si="0"/>
        <v>67</v>
      </c>
    </row>
    <row r="33" spans="1:4" ht="18.75">
      <c r="A33" s="28" t="s">
        <v>222</v>
      </c>
      <c r="B33" s="19"/>
      <c r="C33" s="19"/>
      <c r="D33" s="14"/>
    </row>
    <row r="34" spans="1:4" ht="18.75">
      <c r="A34" s="28" t="s">
        <v>223</v>
      </c>
      <c r="B34" s="19">
        <v>23</v>
      </c>
      <c r="C34" s="19" t="s">
        <v>209</v>
      </c>
      <c r="D34" s="14">
        <f t="shared" si="0"/>
        <v>74</v>
      </c>
    </row>
    <row r="35" spans="1:4" ht="18.75">
      <c r="A35" s="28" t="s">
        <v>224</v>
      </c>
      <c r="B35" s="19">
        <v>6</v>
      </c>
      <c r="C35" s="19" t="s">
        <v>209</v>
      </c>
      <c r="D35" s="14">
        <f t="shared" si="0"/>
        <v>57</v>
      </c>
    </row>
    <row r="36" spans="1:4" ht="18.75">
      <c r="A36" s="28" t="s">
        <v>225</v>
      </c>
      <c r="B36" s="19">
        <v>49</v>
      </c>
      <c r="C36" s="19" t="s">
        <v>209</v>
      </c>
      <c r="D36" s="14">
        <f t="shared" si="0"/>
        <v>100</v>
      </c>
    </row>
    <row r="37" spans="1:4" ht="18.75">
      <c r="A37" s="28" t="s">
        <v>226</v>
      </c>
      <c r="B37" s="19">
        <v>1</v>
      </c>
      <c r="C37" s="19" t="s">
        <v>209</v>
      </c>
      <c r="D37" s="14">
        <f t="shared" si="0"/>
        <v>52</v>
      </c>
    </row>
    <row r="38" spans="1:4" ht="18.75">
      <c r="A38" s="28" t="s">
        <v>227</v>
      </c>
      <c r="B38" s="19"/>
      <c r="C38" s="19"/>
      <c r="D38" s="14"/>
    </row>
    <row r="39" spans="1:4" ht="18.75">
      <c r="A39" s="28" t="s">
        <v>228</v>
      </c>
      <c r="B39" s="19"/>
      <c r="C39" s="19"/>
      <c r="D39" s="14"/>
    </row>
  </sheetData>
  <mergeCells count="1">
    <mergeCell ref="F4:L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C06D-1DB7-46A5-AFE0-8D6FD30FF590}">
  <dimension ref="B2:K51"/>
  <sheetViews>
    <sheetView topLeftCell="B1" workbookViewId="0">
      <selection activeCell="F33" sqref="F33"/>
    </sheetView>
  </sheetViews>
  <sheetFormatPr defaultRowHeight="15"/>
  <cols>
    <col min="2" max="2" width="77.140625" customWidth="1"/>
    <col min="3" max="3" width="17.140625" style="11" customWidth="1"/>
    <col min="4" max="4" width="17.42578125" customWidth="1"/>
    <col min="11" max="11" width="70.85546875" customWidth="1"/>
  </cols>
  <sheetData>
    <row r="2" spans="2:11" ht="18.75">
      <c r="B2" s="20" t="s">
        <v>188</v>
      </c>
      <c r="C2" s="32" t="s">
        <v>233</v>
      </c>
      <c r="D2" s="29" t="s">
        <v>234</v>
      </c>
      <c r="E2" s="38" t="s">
        <v>244</v>
      </c>
      <c r="F2" s="29" t="s">
        <v>77</v>
      </c>
    </row>
    <row r="3" spans="2:11" ht="15.75">
      <c r="B3" s="27" t="s">
        <v>193</v>
      </c>
      <c r="C3" s="13">
        <v>40525</v>
      </c>
      <c r="D3" s="13">
        <v>2</v>
      </c>
      <c r="E3" s="13">
        <v>1000</v>
      </c>
      <c r="F3" s="13">
        <v>40428</v>
      </c>
      <c r="G3" s="13">
        <v>40388</v>
      </c>
      <c r="H3" s="13"/>
      <c r="I3" s="12"/>
    </row>
    <row r="4" spans="2:11" ht="18.75">
      <c r="B4" s="28" t="s">
        <v>195</v>
      </c>
      <c r="C4" s="13">
        <v>40544</v>
      </c>
      <c r="D4" s="13">
        <v>2</v>
      </c>
      <c r="E4" s="13">
        <v>1000</v>
      </c>
      <c r="F4" s="13"/>
      <c r="G4" s="13">
        <v>40390</v>
      </c>
      <c r="H4" s="13"/>
      <c r="I4" s="12"/>
      <c r="K4" s="33" t="s">
        <v>252</v>
      </c>
    </row>
    <row r="5" spans="2:11" ht="15.75">
      <c r="B5" s="28" t="s">
        <v>196</v>
      </c>
      <c r="C5" s="13"/>
      <c r="D5" s="13"/>
      <c r="E5" s="13"/>
      <c r="F5" s="13"/>
      <c r="G5" s="13"/>
      <c r="H5" s="13"/>
      <c r="I5" s="12"/>
    </row>
    <row r="6" spans="2:11" ht="15.75">
      <c r="B6" s="28" t="s">
        <v>197</v>
      </c>
      <c r="C6" s="13">
        <v>40532</v>
      </c>
      <c r="D6" s="13">
        <v>1</v>
      </c>
      <c r="E6" s="13">
        <v>1000</v>
      </c>
      <c r="F6" s="13"/>
      <c r="G6" s="13"/>
      <c r="H6" s="13"/>
      <c r="I6" s="12"/>
    </row>
    <row r="7" spans="2:11" ht="15.75">
      <c r="B7" s="28"/>
      <c r="C7" s="13"/>
      <c r="D7" s="13"/>
      <c r="E7" s="13"/>
      <c r="F7" s="13"/>
      <c r="G7" s="13"/>
      <c r="H7" s="13"/>
      <c r="I7" s="12"/>
    </row>
    <row r="8" spans="2:11" ht="15.75">
      <c r="B8" s="28"/>
      <c r="C8" s="13"/>
      <c r="D8" s="13"/>
      <c r="E8" s="13"/>
      <c r="F8" s="13"/>
      <c r="G8" s="13"/>
      <c r="H8" s="13"/>
      <c r="I8" s="12"/>
    </row>
    <row r="9" spans="2:11" ht="15.75">
      <c r="B9" s="28" t="s">
        <v>200</v>
      </c>
      <c r="C9" s="13"/>
      <c r="D9" s="13"/>
      <c r="E9" s="13"/>
      <c r="F9" s="13"/>
      <c r="G9" s="13"/>
      <c r="H9" s="13"/>
      <c r="I9" s="12"/>
    </row>
    <row r="10" spans="2:11" ht="15.75">
      <c r="B10" s="28" t="s">
        <v>201</v>
      </c>
      <c r="C10" s="13"/>
      <c r="D10" s="13"/>
      <c r="E10" s="13"/>
      <c r="F10" s="13"/>
      <c r="G10" s="13"/>
      <c r="H10" s="13"/>
      <c r="I10" s="12"/>
    </row>
    <row r="11" spans="2:11" ht="15.75">
      <c r="B11" s="28" t="s">
        <v>202</v>
      </c>
      <c r="C11" s="13">
        <v>40500</v>
      </c>
      <c r="D11" s="13">
        <v>1</v>
      </c>
      <c r="E11" s="13">
        <v>10</v>
      </c>
      <c r="F11" s="13">
        <v>38100</v>
      </c>
      <c r="G11" s="13"/>
      <c r="H11" s="13"/>
      <c r="I11" s="12"/>
    </row>
    <row r="12" spans="2:11" ht="15.75">
      <c r="B12" s="28" t="s">
        <v>203</v>
      </c>
      <c r="C12" s="13"/>
      <c r="D12" s="13"/>
      <c r="E12" s="13"/>
      <c r="F12" s="13"/>
      <c r="G12" s="13"/>
      <c r="H12" s="13"/>
      <c r="I12" s="12"/>
    </row>
    <row r="13" spans="2:11" ht="15.75">
      <c r="B13" s="28" t="s">
        <v>204</v>
      </c>
      <c r="C13" s="13">
        <v>40685</v>
      </c>
      <c r="D13" s="13">
        <v>1</v>
      </c>
      <c r="E13" s="13">
        <v>100</v>
      </c>
      <c r="F13" s="13"/>
      <c r="G13" s="13"/>
      <c r="H13" s="13"/>
      <c r="I13" s="12"/>
    </row>
    <row r="14" spans="2:11" ht="15.75">
      <c r="B14" s="28" t="s">
        <v>205</v>
      </c>
      <c r="C14" s="13"/>
      <c r="D14" s="13"/>
      <c r="E14" s="13"/>
      <c r="F14" s="13"/>
      <c r="G14" s="13"/>
      <c r="H14" s="13"/>
      <c r="I14" s="12"/>
    </row>
    <row r="15" spans="2:11" ht="15.75">
      <c r="B15" s="28" t="s">
        <v>206</v>
      </c>
      <c r="C15" s="13">
        <v>40560</v>
      </c>
      <c r="D15" s="13">
        <v>2</v>
      </c>
      <c r="E15" s="13">
        <v>10</v>
      </c>
      <c r="F15" s="13"/>
      <c r="G15" s="13"/>
      <c r="H15" s="13"/>
      <c r="I15" s="12"/>
    </row>
    <row r="16" spans="2:11" ht="15.75">
      <c r="B16" s="28" t="s">
        <v>207</v>
      </c>
      <c r="C16" s="13"/>
      <c r="D16" s="13"/>
      <c r="E16" s="13"/>
      <c r="F16" s="13"/>
      <c r="G16" s="13"/>
      <c r="H16" s="13"/>
      <c r="I16" s="12"/>
    </row>
    <row r="17" spans="2:9" ht="15.75">
      <c r="B17" s="28" t="s">
        <v>208</v>
      </c>
      <c r="C17" s="13"/>
      <c r="D17" s="13"/>
      <c r="E17" s="13"/>
      <c r="F17" s="13"/>
      <c r="G17" s="13"/>
      <c r="H17" s="13"/>
      <c r="I17" s="12"/>
    </row>
    <row r="18" spans="2:9" ht="15.75">
      <c r="B18" s="28" t="s">
        <v>210</v>
      </c>
      <c r="C18" s="13"/>
      <c r="D18" s="13"/>
      <c r="E18" s="13"/>
      <c r="F18" s="13"/>
      <c r="G18" s="13"/>
      <c r="H18" s="13"/>
      <c r="I18" s="12"/>
    </row>
    <row r="19" spans="2:9" ht="15.75">
      <c r="B19" s="28" t="s">
        <v>211</v>
      </c>
      <c r="C19" s="13"/>
      <c r="D19" s="13"/>
      <c r="E19" s="13"/>
      <c r="F19" s="13"/>
      <c r="G19" s="13"/>
      <c r="H19" s="13"/>
      <c r="I19" s="12"/>
    </row>
    <row r="20" spans="2:9" ht="15.75">
      <c r="B20" s="28" t="s">
        <v>212</v>
      </c>
      <c r="C20" s="13">
        <v>40737</v>
      </c>
      <c r="D20" s="13">
        <v>1</v>
      </c>
      <c r="E20" s="13">
        <v>1</v>
      </c>
      <c r="F20" s="13"/>
      <c r="G20" s="13"/>
      <c r="H20" s="13">
        <v>41889</v>
      </c>
      <c r="I20" s="12"/>
    </row>
    <row r="21" spans="2:9" ht="15.75">
      <c r="B21" s="28" t="s">
        <v>213</v>
      </c>
      <c r="C21" s="13">
        <v>40740</v>
      </c>
      <c r="D21" s="13">
        <v>1</v>
      </c>
      <c r="E21" s="13"/>
      <c r="F21" s="13">
        <v>44165</v>
      </c>
      <c r="G21" s="13"/>
      <c r="H21" s="13">
        <v>44165</v>
      </c>
      <c r="I21" s="12"/>
    </row>
    <row r="22" spans="2:9" ht="15.75">
      <c r="B22" s="28" t="s">
        <v>214</v>
      </c>
      <c r="C22" s="13"/>
      <c r="D22" s="13"/>
      <c r="E22" s="13"/>
      <c r="F22" s="13"/>
      <c r="G22" s="13"/>
      <c r="H22" s="13"/>
      <c r="I22" s="12"/>
    </row>
    <row r="23" spans="2:9" ht="15.75">
      <c r="B23" s="28" t="s">
        <v>215</v>
      </c>
    </row>
    <row r="24" spans="2:9" ht="15.75">
      <c r="B24" s="28" t="s">
        <v>216</v>
      </c>
    </row>
    <row r="25" spans="2:9" ht="15.75">
      <c r="B25" s="28" t="s">
        <v>217</v>
      </c>
    </row>
    <row r="26" spans="2:9" ht="15.75">
      <c r="B26" s="28" t="s">
        <v>218</v>
      </c>
    </row>
    <row r="27" spans="2:9" ht="15.75">
      <c r="B27" s="28" t="s">
        <v>219</v>
      </c>
    </row>
    <row r="28" spans="2:9" ht="15.75">
      <c r="B28" s="28" t="s">
        <v>220</v>
      </c>
    </row>
    <row r="29" spans="2:9" ht="15.75">
      <c r="B29" s="28" t="s">
        <v>221</v>
      </c>
    </row>
    <row r="30" spans="2:9" ht="15.75">
      <c r="B30" s="28" t="s">
        <v>42</v>
      </c>
    </row>
    <row r="31" spans="2:9" ht="15.75">
      <c r="B31" s="28" t="s">
        <v>44</v>
      </c>
    </row>
    <row r="32" spans="2:9" ht="15.75">
      <c r="B32" s="28" t="s">
        <v>222</v>
      </c>
    </row>
    <row r="33" spans="2:6" ht="15.75">
      <c r="B33" s="28" t="s">
        <v>223</v>
      </c>
    </row>
    <row r="34" spans="2:6" ht="15.75">
      <c r="B34" s="28" t="s">
        <v>224</v>
      </c>
    </row>
    <row r="35" spans="2:6" ht="15.75">
      <c r="B35" s="28" t="s">
        <v>225</v>
      </c>
    </row>
    <row r="36" spans="2:6" ht="15.75">
      <c r="B36" s="28" t="s">
        <v>226</v>
      </c>
    </row>
    <row r="37" spans="2:6" ht="15.75">
      <c r="B37" s="28" t="s">
        <v>227</v>
      </c>
    </row>
    <row r="38" spans="2:6" ht="15.75">
      <c r="B38" s="28" t="s">
        <v>228</v>
      </c>
    </row>
    <row r="39" spans="2:6" ht="15.75">
      <c r="B39" s="12" t="s">
        <v>235</v>
      </c>
      <c r="C39" s="13">
        <v>40206</v>
      </c>
      <c r="D39" s="13"/>
      <c r="E39" s="13"/>
      <c r="F39" s="13"/>
    </row>
    <row r="40" spans="2:6" ht="15.75">
      <c r="B40" s="31" t="s">
        <v>236</v>
      </c>
      <c r="C40" s="13">
        <v>40521</v>
      </c>
      <c r="D40" s="13">
        <v>2</v>
      </c>
      <c r="E40" s="13">
        <v>1000</v>
      </c>
      <c r="F40" s="13"/>
    </row>
    <row r="41" spans="2:6" ht="15.75">
      <c r="B41" s="31" t="s">
        <v>237</v>
      </c>
      <c r="C41" s="13">
        <v>40554</v>
      </c>
      <c r="D41" s="13">
        <v>2</v>
      </c>
      <c r="E41" s="13">
        <v>10</v>
      </c>
      <c r="F41" s="13"/>
    </row>
    <row r="42" spans="2:6" ht="15.75">
      <c r="B42" s="31" t="s">
        <v>238</v>
      </c>
      <c r="C42" s="13">
        <v>40572</v>
      </c>
      <c r="D42" s="13">
        <v>1</v>
      </c>
      <c r="E42" s="13">
        <v>1</v>
      </c>
      <c r="F42" s="13"/>
    </row>
    <row r="43" spans="2:6" ht="15.75">
      <c r="B43" s="31" t="s">
        <v>239</v>
      </c>
      <c r="C43" s="13">
        <v>40573</v>
      </c>
      <c r="D43" s="13">
        <v>1</v>
      </c>
      <c r="E43" s="13">
        <v>1</v>
      </c>
      <c r="F43" s="13"/>
    </row>
    <row r="44" spans="2:6" ht="15.75">
      <c r="B44" s="31" t="s">
        <v>240</v>
      </c>
      <c r="C44" s="13">
        <v>40574</v>
      </c>
      <c r="D44" s="13">
        <v>1</v>
      </c>
      <c r="E44" s="13">
        <v>1</v>
      </c>
      <c r="F44" s="13"/>
    </row>
    <row r="45" spans="2:6" ht="15.75">
      <c r="B45" s="31" t="s">
        <v>241</v>
      </c>
      <c r="C45" s="13">
        <v>40575</v>
      </c>
      <c r="D45" s="13">
        <v>1</v>
      </c>
      <c r="E45" s="13">
        <v>10</v>
      </c>
      <c r="F45" s="13"/>
    </row>
    <row r="46" spans="2:6" ht="15.75">
      <c r="B46" s="31" t="s">
        <v>242</v>
      </c>
      <c r="C46" s="13">
        <v>40576</v>
      </c>
      <c r="D46" s="13">
        <v>1</v>
      </c>
      <c r="E46" s="13">
        <v>10</v>
      </c>
      <c r="F46" s="13"/>
    </row>
    <row r="47" spans="2:6" ht="15.75">
      <c r="B47" s="31" t="s">
        <v>243</v>
      </c>
      <c r="C47" s="13">
        <v>40577</v>
      </c>
      <c r="D47" s="13">
        <v>1</v>
      </c>
      <c r="E47" s="13">
        <v>10</v>
      </c>
      <c r="F47" s="13"/>
    </row>
    <row r="48" spans="2:6" ht="15.75">
      <c r="B48" s="31" t="s">
        <v>245</v>
      </c>
      <c r="C48" s="13">
        <v>42256</v>
      </c>
      <c r="D48" s="13"/>
      <c r="E48" s="13"/>
      <c r="F48" s="13"/>
    </row>
    <row r="49" spans="2:6" ht="15.75">
      <c r="B49" s="31" t="s">
        <v>246</v>
      </c>
      <c r="C49" s="13">
        <v>44376</v>
      </c>
      <c r="D49" s="13">
        <v>1</v>
      </c>
      <c r="E49" s="13"/>
      <c r="F49" s="13"/>
    </row>
    <row r="50" spans="2:6" ht="15.75">
      <c r="B50" s="31" t="s">
        <v>247</v>
      </c>
      <c r="C50" s="13">
        <v>38004</v>
      </c>
      <c r="D50" s="13"/>
      <c r="E50" s="13">
        <v>100</v>
      </c>
      <c r="F50" s="13"/>
    </row>
    <row r="51" spans="2:6" ht="15.75">
      <c r="C51" s="37"/>
      <c r="D51" s="18"/>
      <c r="E51" s="18"/>
      <c r="F51" s="18"/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E7B4-96B9-4B7A-BBAD-8B4F64AC7808}">
  <dimension ref="B2:S50"/>
  <sheetViews>
    <sheetView workbookViewId="0">
      <selection activeCell="I3" sqref="I3"/>
    </sheetView>
  </sheetViews>
  <sheetFormatPr defaultRowHeight="15"/>
  <cols>
    <col min="2" max="2" width="46" customWidth="1"/>
    <col min="3" max="3" width="19.42578125" customWidth="1"/>
    <col min="4" max="4" width="15.140625" customWidth="1"/>
    <col min="9" max="9" width="73.28515625" customWidth="1"/>
  </cols>
  <sheetData>
    <row r="2" spans="2:19" ht="18.75">
      <c r="B2" s="20" t="s">
        <v>188</v>
      </c>
      <c r="C2" s="23" t="s">
        <v>250</v>
      </c>
      <c r="D2" s="23" t="s">
        <v>248</v>
      </c>
      <c r="E2" s="23" t="s">
        <v>244</v>
      </c>
    </row>
    <row r="3" spans="2:19" ht="20.25">
      <c r="B3" s="34" t="s">
        <v>193</v>
      </c>
      <c r="C3" s="18">
        <v>0</v>
      </c>
      <c r="D3" s="18">
        <v>2</v>
      </c>
      <c r="E3" s="18">
        <v>1000</v>
      </c>
      <c r="F3" s="19"/>
      <c r="G3" s="19"/>
      <c r="I3" s="33" t="s">
        <v>251</v>
      </c>
    </row>
    <row r="4" spans="2:19" ht="20.25">
      <c r="B4" s="35" t="s">
        <v>195</v>
      </c>
      <c r="C4" s="18">
        <v>2</v>
      </c>
      <c r="D4" s="18">
        <v>2</v>
      </c>
      <c r="E4" s="18">
        <v>1000</v>
      </c>
      <c r="F4" s="19"/>
      <c r="G4" s="19"/>
    </row>
    <row r="5" spans="2:19" ht="20.25">
      <c r="B5" s="35" t="s">
        <v>196</v>
      </c>
      <c r="C5" s="18"/>
      <c r="D5" s="18"/>
      <c r="E5" s="18"/>
      <c r="F5" s="19"/>
      <c r="G5" s="19"/>
    </row>
    <row r="6" spans="2:19" ht="20.25">
      <c r="B6" s="35" t="s">
        <v>197</v>
      </c>
      <c r="C6" s="18">
        <v>8</v>
      </c>
      <c r="D6" s="18">
        <v>1</v>
      </c>
      <c r="E6" s="18"/>
      <c r="F6" s="19"/>
      <c r="G6" s="19"/>
    </row>
    <row r="7" spans="2:19" ht="20.25">
      <c r="B7" s="35"/>
      <c r="C7" s="18"/>
      <c r="D7" s="18"/>
      <c r="E7" s="18"/>
      <c r="F7" s="19"/>
      <c r="G7" s="19"/>
      <c r="H7" s="82" t="s">
        <v>249</v>
      </c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</row>
    <row r="8" spans="2:19" ht="20.25">
      <c r="B8" s="35"/>
      <c r="C8" s="18"/>
      <c r="D8" s="18"/>
      <c r="E8" s="18"/>
      <c r="F8" s="19"/>
      <c r="G8" s="19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</row>
    <row r="9" spans="2:19" ht="20.25">
      <c r="B9" s="35" t="s">
        <v>200</v>
      </c>
      <c r="C9" s="18"/>
      <c r="D9" s="18"/>
      <c r="E9" s="18"/>
      <c r="F9" s="19"/>
      <c r="G9" s="19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</row>
    <row r="10" spans="2:19" ht="20.25">
      <c r="B10" s="35" t="s">
        <v>201</v>
      </c>
      <c r="C10" s="18"/>
      <c r="D10" s="18"/>
      <c r="E10" s="18"/>
      <c r="F10" s="19"/>
      <c r="G10" s="19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</row>
    <row r="11" spans="2:19" ht="20.25">
      <c r="B11" s="35" t="s">
        <v>202</v>
      </c>
      <c r="C11" s="18">
        <v>4</v>
      </c>
      <c r="D11" s="18">
        <v>1</v>
      </c>
      <c r="E11" s="18">
        <v>100</v>
      </c>
      <c r="F11" s="19"/>
      <c r="G11" s="19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</row>
    <row r="12" spans="2:19" ht="20.25">
      <c r="B12" s="35" t="s">
        <v>203</v>
      </c>
      <c r="C12" s="18">
        <v>5</v>
      </c>
      <c r="D12" s="18">
        <v>2</v>
      </c>
      <c r="E12" s="18">
        <v>100</v>
      </c>
      <c r="F12" s="19"/>
      <c r="G12" s="19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</row>
    <row r="13" spans="2:19" ht="20.25">
      <c r="B13" s="35" t="s">
        <v>204</v>
      </c>
    </row>
    <row r="14" spans="2:19" ht="20.25">
      <c r="B14" s="35" t="s">
        <v>205</v>
      </c>
    </row>
    <row r="15" spans="2:19" ht="20.25">
      <c r="B15" s="35" t="s">
        <v>206</v>
      </c>
    </row>
    <row r="16" spans="2:19" ht="20.25">
      <c r="B16" s="35" t="s">
        <v>207</v>
      </c>
    </row>
    <row r="17" spans="2:2" ht="20.25">
      <c r="B17" s="35" t="s">
        <v>208</v>
      </c>
    </row>
    <row r="18" spans="2:2" ht="20.25">
      <c r="B18" s="35" t="s">
        <v>210</v>
      </c>
    </row>
    <row r="19" spans="2:2" ht="20.25">
      <c r="B19" s="35" t="s">
        <v>211</v>
      </c>
    </row>
    <row r="20" spans="2:2" ht="20.25">
      <c r="B20" s="35" t="s">
        <v>212</v>
      </c>
    </row>
    <row r="21" spans="2:2" ht="20.25">
      <c r="B21" s="35" t="s">
        <v>213</v>
      </c>
    </row>
    <row r="22" spans="2:2" ht="20.25">
      <c r="B22" s="35" t="s">
        <v>214</v>
      </c>
    </row>
    <row r="23" spans="2:2" ht="20.25">
      <c r="B23" s="35" t="s">
        <v>215</v>
      </c>
    </row>
    <row r="24" spans="2:2" ht="20.25">
      <c r="B24" s="35" t="s">
        <v>216</v>
      </c>
    </row>
    <row r="25" spans="2:2" ht="20.25">
      <c r="B25" s="35" t="s">
        <v>217</v>
      </c>
    </row>
    <row r="26" spans="2:2" ht="20.25">
      <c r="B26" s="35" t="s">
        <v>218</v>
      </c>
    </row>
    <row r="27" spans="2:2" ht="20.25">
      <c r="B27" s="35" t="s">
        <v>219</v>
      </c>
    </row>
    <row r="28" spans="2:2" ht="20.25">
      <c r="B28" s="35" t="s">
        <v>220</v>
      </c>
    </row>
    <row r="29" spans="2:2" ht="20.25">
      <c r="B29" s="35" t="s">
        <v>221</v>
      </c>
    </row>
    <row r="30" spans="2:2" ht="20.25">
      <c r="B30" s="35" t="s">
        <v>42</v>
      </c>
    </row>
    <row r="31" spans="2:2" ht="20.25">
      <c r="B31" s="35" t="s">
        <v>44</v>
      </c>
    </row>
    <row r="32" spans="2:2" ht="20.25">
      <c r="B32" s="35" t="s">
        <v>222</v>
      </c>
    </row>
    <row r="33" spans="2:2" ht="20.25">
      <c r="B33" s="35" t="s">
        <v>223</v>
      </c>
    </row>
    <row r="34" spans="2:2" ht="20.25">
      <c r="B34" s="35" t="s">
        <v>224</v>
      </c>
    </row>
    <row r="35" spans="2:2" ht="20.25">
      <c r="B35" s="35" t="s">
        <v>225</v>
      </c>
    </row>
    <row r="36" spans="2:2" ht="20.25">
      <c r="B36" s="35" t="s">
        <v>226</v>
      </c>
    </row>
    <row r="37" spans="2:2" ht="20.25">
      <c r="B37" s="35" t="s">
        <v>227</v>
      </c>
    </row>
    <row r="38" spans="2:2" ht="20.25">
      <c r="B38" s="35" t="s">
        <v>228</v>
      </c>
    </row>
    <row r="39" spans="2:2" ht="21">
      <c r="B39" s="15" t="s">
        <v>235</v>
      </c>
    </row>
    <row r="40" spans="2:2" ht="20.25">
      <c r="B40" s="36" t="s">
        <v>236</v>
      </c>
    </row>
    <row r="41" spans="2:2" ht="20.25">
      <c r="B41" s="36" t="s">
        <v>237</v>
      </c>
    </row>
    <row r="42" spans="2:2" ht="20.25">
      <c r="B42" s="36" t="s">
        <v>238</v>
      </c>
    </row>
    <row r="43" spans="2:2" ht="20.25">
      <c r="B43" s="36" t="s">
        <v>239</v>
      </c>
    </row>
    <row r="44" spans="2:2" ht="20.25">
      <c r="B44" s="36" t="s">
        <v>240</v>
      </c>
    </row>
    <row r="45" spans="2:2" ht="20.25">
      <c r="B45" s="36" t="s">
        <v>241</v>
      </c>
    </row>
    <row r="46" spans="2:2" ht="20.25">
      <c r="B46" s="36" t="s">
        <v>242</v>
      </c>
    </row>
    <row r="47" spans="2:2" ht="20.25">
      <c r="B47" s="36" t="s">
        <v>243</v>
      </c>
    </row>
    <row r="48" spans="2:2" ht="20.25">
      <c r="B48" s="36" t="s">
        <v>245</v>
      </c>
    </row>
    <row r="49" spans="2:2" ht="20.25">
      <c r="B49" s="36" t="s">
        <v>246</v>
      </c>
    </row>
    <row r="50" spans="2:2" ht="20.25">
      <c r="B50" s="36" t="s">
        <v>247</v>
      </c>
    </row>
  </sheetData>
  <mergeCells count="1">
    <mergeCell ref="H7:S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AF275-8AE2-48C2-97C0-32714CF9CDF5}">
  <dimension ref="A1:F105"/>
  <sheetViews>
    <sheetView workbookViewId="0">
      <selection activeCell="E13" sqref="E13"/>
    </sheetView>
  </sheetViews>
  <sheetFormatPr defaultRowHeight="12.75"/>
  <cols>
    <col min="1" max="1" width="21.140625" style="40" customWidth="1"/>
    <col min="2" max="2" width="15.5703125" style="40" customWidth="1"/>
    <col min="3" max="3" width="8.28515625" style="40" bestFit="1" customWidth="1"/>
    <col min="4" max="4" width="44" style="40" customWidth="1"/>
    <col min="5" max="5" width="25.85546875" style="40" customWidth="1"/>
    <col min="6" max="6" width="12" style="40" customWidth="1"/>
    <col min="7" max="16384" width="9.140625" style="40"/>
  </cols>
  <sheetData>
    <row r="1" spans="1:6">
      <c r="A1" s="84" t="s">
        <v>487</v>
      </c>
      <c r="B1" s="84"/>
      <c r="C1" s="84"/>
      <c r="D1" s="84"/>
      <c r="E1" s="84"/>
      <c r="F1" s="43"/>
    </row>
    <row r="2" spans="1:6">
      <c r="A2" s="84"/>
      <c r="B2" s="84"/>
      <c r="C2" s="84"/>
      <c r="D2" s="84"/>
      <c r="E2" s="84"/>
      <c r="F2" s="43"/>
    </row>
    <row r="3" spans="1:6">
      <c r="F3" s="43"/>
    </row>
    <row r="4" spans="1:6" ht="18.75">
      <c r="A4" s="55" t="s">
        <v>167</v>
      </c>
      <c r="B4" s="55" t="s">
        <v>486</v>
      </c>
      <c r="C4" s="55" t="s">
        <v>485</v>
      </c>
      <c r="D4" s="55" t="s">
        <v>484</v>
      </c>
      <c r="E4" s="55" t="s">
        <v>483</v>
      </c>
      <c r="F4" s="43"/>
    </row>
    <row r="5" spans="1:6" ht="18.75">
      <c r="A5" s="54"/>
      <c r="B5" s="54"/>
      <c r="C5" s="54"/>
      <c r="D5" s="50" t="s">
        <v>482</v>
      </c>
      <c r="E5" s="54"/>
      <c r="F5" s="42"/>
    </row>
    <row r="6" spans="1:6" ht="18.75">
      <c r="A6" s="52">
        <v>9409</v>
      </c>
      <c r="B6" s="51" t="s">
        <v>470</v>
      </c>
      <c r="C6" s="52">
        <v>1</v>
      </c>
      <c r="D6" s="50" t="s">
        <v>481</v>
      </c>
      <c r="E6" s="50" t="s">
        <v>480</v>
      </c>
      <c r="F6" s="42"/>
    </row>
    <row r="7" spans="1:6" ht="37.5">
      <c r="A7" s="52">
        <v>9411</v>
      </c>
      <c r="B7" s="50" t="s">
        <v>389</v>
      </c>
      <c r="C7" s="52">
        <v>1</v>
      </c>
      <c r="D7" s="50" t="s">
        <v>479</v>
      </c>
      <c r="E7" s="49" t="s">
        <v>478</v>
      </c>
      <c r="F7" s="43"/>
    </row>
    <row r="8" spans="1:6" ht="18.75">
      <c r="A8" s="52">
        <v>9412</v>
      </c>
      <c r="B8" s="51" t="s">
        <v>394</v>
      </c>
      <c r="C8" s="52">
        <v>100</v>
      </c>
      <c r="D8" s="50" t="s">
        <v>200</v>
      </c>
      <c r="E8" s="50" t="s">
        <v>477</v>
      </c>
      <c r="F8" s="42"/>
    </row>
    <row r="9" spans="1:6" ht="18.75">
      <c r="A9" s="52">
        <v>9413</v>
      </c>
      <c r="B9" s="51" t="s">
        <v>394</v>
      </c>
      <c r="C9" s="52">
        <v>100</v>
      </c>
      <c r="D9" s="50" t="s">
        <v>476</v>
      </c>
      <c r="E9" s="49" t="s">
        <v>475</v>
      </c>
      <c r="F9" s="43"/>
    </row>
    <row r="10" spans="1:6" ht="37.5">
      <c r="A10" s="52">
        <v>9414</v>
      </c>
      <c r="B10" s="51" t="s">
        <v>470</v>
      </c>
      <c r="C10" s="52">
        <v>1000</v>
      </c>
      <c r="D10" s="50" t="s">
        <v>474</v>
      </c>
      <c r="E10" s="49" t="s">
        <v>473</v>
      </c>
      <c r="F10" s="43"/>
    </row>
    <row r="11" spans="1:6" ht="56.25">
      <c r="A11" s="52">
        <v>9416</v>
      </c>
      <c r="B11" s="51" t="s">
        <v>470</v>
      </c>
      <c r="C11" s="52">
        <v>100</v>
      </c>
      <c r="D11" s="50" t="s">
        <v>472</v>
      </c>
      <c r="E11" s="49" t="s">
        <v>471</v>
      </c>
    </row>
    <row r="12" spans="1:6" ht="37.5">
      <c r="A12" s="52">
        <v>9418</v>
      </c>
      <c r="B12" s="51" t="s">
        <v>470</v>
      </c>
      <c r="C12" s="52">
        <v>100</v>
      </c>
      <c r="D12" s="50" t="s">
        <v>469</v>
      </c>
      <c r="E12" s="49" t="s">
        <v>468</v>
      </c>
    </row>
    <row r="13" spans="1:6" ht="18.75">
      <c r="A13" s="52">
        <v>9420</v>
      </c>
      <c r="B13" s="51" t="s">
        <v>394</v>
      </c>
      <c r="C13" s="52">
        <v>1</v>
      </c>
      <c r="D13" s="50" t="s">
        <v>467</v>
      </c>
      <c r="E13" s="50" t="s">
        <v>466</v>
      </c>
    </row>
    <row r="14" spans="1:6" ht="18.75">
      <c r="A14" s="52">
        <v>9421</v>
      </c>
      <c r="B14" s="51" t="s">
        <v>394</v>
      </c>
      <c r="C14" s="52">
        <v>1</v>
      </c>
      <c r="D14" s="50" t="s">
        <v>465</v>
      </c>
      <c r="E14" s="50" t="s">
        <v>464</v>
      </c>
    </row>
    <row r="15" spans="1:6" ht="37.5">
      <c r="A15" s="52">
        <v>9422</v>
      </c>
      <c r="B15" s="51" t="s">
        <v>394</v>
      </c>
      <c r="C15" s="52">
        <v>1000</v>
      </c>
      <c r="D15" s="50" t="s">
        <v>463</v>
      </c>
      <c r="E15" s="49" t="s">
        <v>450</v>
      </c>
    </row>
    <row r="16" spans="1:6" ht="37.5">
      <c r="A16" s="52">
        <v>9423</v>
      </c>
      <c r="B16" s="51" t="s">
        <v>394</v>
      </c>
      <c r="C16" s="52">
        <v>1000</v>
      </c>
      <c r="D16" s="50" t="s">
        <v>462</v>
      </c>
      <c r="E16" s="49" t="s">
        <v>450</v>
      </c>
    </row>
    <row r="17" spans="1:5" ht="37.5">
      <c r="A17" s="52">
        <v>9424</v>
      </c>
      <c r="B17" s="51" t="s">
        <v>394</v>
      </c>
      <c r="C17" s="52">
        <v>1000</v>
      </c>
      <c r="D17" s="50" t="s">
        <v>461</v>
      </c>
      <c r="E17" s="49" t="s">
        <v>450</v>
      </c>
    </row>
    <row r="18" spans="1:5" ht="37.5">
      <c r="A18" s="52">
        <v>9425</v>
      </c>
      <c r="B18" s="51" t="s">
        <v>394</v>
      </c>
      <c r="C18" s="52">
        <v>1000</v>
      </c>
      <c r="D18" s="50" t="s">
        <v>460</v>
      </c>
      <c r="E18" s="49" t="s">
        <v>448</v>
      </c>
    </row>
    <row r="19" spans="1:5" ht="37.5">
      <c r="A19" s="52">
        <v>9426</v>
      </c>
      <c r="B19" s="51" t="s">
        <v>394</v>
      </c>
      <c r="C19" s="52">
        <v>1000</v>
      </c>
      <c r="D19" s="50" t="s">
        <v>459</v>
      </c>
      <c r="E19" s="49" t="s">
        <v>448</v>
      </c>
    </row>
    <row r="20" spans="1:5" ht="37.5">
      <c r="A20" s="52">
        <v>9427</v>
      </c>
      <c r="B20" s="51" t="s">
        <v>394</v>
      </c>
      <c r="C20" s="52">
        <v>1000</v>
      </c>
      <c r="D20" s="50" t="s">
        <v>458</v>
      </c>
      <c r="E20" s="49" t="s">
        <v>448</v>
      </c>
    </row>
    <row r="21" spans="1:5" ht="37.5">
      <c r="A21" s="52">
        <v>9428</v>
      </c>
      <c r="B21" s="51" t="s">
        <v>394</v>
      </c>
      <c r="C21" s="52">
        <v>1000</v>
      </c>
      <c r="D21" s="50" t="s">
        <v>457</v>
      </c>
      <c r="E21" s="49" t="s">
        <v>450</v>
      </c>
    </row>
    <row r="22" spans="1:5" ht="37.5">
      <c r="A22" s="52">
        <v>9429</v>
      </c>
      <c r="B22" s="51" t="s">
        <v>394</v>
      </c>
      <c r="C22" s="52">
        <v>1000</v>
      </c>
      <c r="D22" s="50" t="s">
        <v>456</v>
      </c>
      <c r="E22" s="49" t="s">
        <v>450</v>
      </c>
    </row>
    <row r="23" spans="1:5" ht="37.5">
      <c r="A23" s="52">
        <v>9430</v>
      </c>
      <c r="B23" s="51" t="s">
        <v>394</v>
      </c>
      <c r="C23" s="52">
        <v>1000</v>
      </c>
      <c r="D23" s="50" t="s">
        <v>455</v>
      </c>
      <c r="E23" s="49" t="s">
        <v>450</v>
      </c>
    </row>
    <row r="24" spans="1:5" ht="37.5">
      <c r="A24" s="52">
        <v>9431</v>
      </c>
      <c r="B24" s="51" t="s">
        <v>394</v>
      </c>
      <c r="C24" s="52">
        <v>1000</v>
      </c>
      <c r="D24" s="50" t="s">
        <v>454</v>
      </c>
      <c r="E24" s="49" t="s">
        <v>448</v>
      </c>
    </row>
    <row r="25" spans="1:5" ht="37.5">
      <c r="A25" s="52">
        <v>9432</v>
      </c>
      <c r="B25" s="51" t="s">
        <v>394</v>
      </c>
      <c r="C25" s="52">
        <v>1000</v>
      </c>
      <c r="D25" s="50" t="s">
        <v>453</v>
      </c>
      <c r="E25" s="49" t="s">
        <v>448</v>
      </c>
    </row>
    <row r="26" spans="1:5" ht="37.5">
      <c r="A26" s="52">
        <v>9433</v>
      </c>
      <c r="B26" s="51" t="s">
        <v>394</v>
      </c>
      <c r="C26" s="52">
        <v>1000</v>
      </c>
      <c r="D26" s="50" t="s">
        <v>452</v>
      </c>
      <c r="E26" s="49" t="s">
        <v>448</v>
      </c>
    </row>
    <row r="27" spans="1:5" ht="37.5">
      <c r="A27" s="52">
        <v>9434</v>
      </c>
      <c r="B27" s="51" t="s">
        <v>394</v>
      </c>
      <c r="C27" s="52">
        <v>1000</v>
      </c>
      <c r="D27" s="50" t="s">
        <v>451</v>
      </c>
      <c r="E27" s="49" t="s">
        <v>450</v>
      </c>
    </row>
    <row r="28" spans="1:5" ht="37.5">
      <c r="A28" s="52">
        <v>9435</v>
      </c>
      <c r="B28" s="51" t="s">
        <v>394</v>
      </c>
      <c r="C28" s="52">
        <v>1000</v>
      </c>
      <c r="D28" s="50" t="s">
        <v>449</v>
      </c>
      <c r="E28" s="49" t="s">
        <v>448</v>
      </c>
    </row>
    <row r="29" spans="1:5" ht="37.5">
      <c r="A29" s="52">
        <v>9436</v>
      </c>
      <c r="B29" s="51" t="s">
        <v>394</v>
      </c>
      <c r="C29" s="52">
        <v>1000</v>
      </c>
      <c r="D29" s="50" t="s">
        <v>447</v>
      </c>
      <c r="E29" s="49" t="s">
        <v>404</v>
      </c>
    </row>
    <row r="30" spans="1:5" ht="37.5">
      <c r="A30" s="52">
        <v>9437</v>
      </c>
      <c r="B30" s="51" t="s">
        <v>394</v>
      </c>
      <c r="C30" s="52">
        <v>1000</v>
      </c>
      <c r="D30" s="50" t="s">
        <v>446</v>
      </c>
      <c r="E30" s="49" t="s">
        <v>404</v>
      </c>
    </row>
    <row r="31" spans="1:5" ht="37.5">
      <c r="A31" s="52">
        <v>9438</v>
      </c>
      <c r="B31" s="51" t="s">
        <v>394</v>
      </c>
      <c r="C31" s="52">
        <v>1000</v>
      </c>
      <c r="D31" s="50" t="s">
        <v>445</v>
      </c>
      <c r="E31" s="49" t="s">
        <v>404</v>
      </c>
    </row>
    <row r="32" spans="1:5" ht="37.5">
      <c r="A32" s="52">
        <v>9439</v>
      </c>
      <c r="B32" s="51" t="s">
        <v>394</v>
      </c>
      <c r="C32" s="52">
        <v>1000</v>
      </c>
      <c r="D32" s="50" t="s">
        <v>444</v>
      </c>
      <c r="E32" s="49" t="s">
        <v>404</v>
      </c>
    </row>
    <row r="33" spans="1:5" ht="37.5">
      <c r="A33" s="52">
        <v>9440</v>
      </c>
      <c r="B33" s="51" t="s">
        <v>394</v>
      </c>
      <c r="C33" s="52">
        <v>1000</v>
      </c>
      <c r="D33" s="50" t="s">
        <v>443</v>
      </c>
      <c r="E33" s="49" t="s">
        <v>404</v>
      </c>
    </row>
    <row r="34" spans="1:5" ht="37.5">
      <c r="A34" s="52">
        <v>9441</v>
      </c>
      <c r="B34" s="50" t="s">
        <v>394</v>
      </c>
      <c r="C34" s="52">
        <v>1000</v>
      </c>
      <c r="D34" s="50" t="s">
        <v>442</v>
      </c>
      <c r="E34" s="49" t="s">
        <v>404</v>
      </c>
    </row>
    <row r="35" spans="1:5" ht="37.5">
      <c r="A35" s="52">
        <v>9442</v>
      </c>
      <c r="B35" s="50" t="s">
        <v>394</v>
      </c>
      <c r="C35" s="52">
        <v>1000</v>
      </c>
      <c r="D35" s="50" t="s">
        <v>441</v>
      </c>
      <c r="E35" s="49" t="s">
        <v>404</v>
      </c>
    </row>
    <row r="36" spans="1:5" ht="37.5">
      <c r="A36" s="52">
        <v>9443</v>
      </c>
      <c r="B36" s="50" t="s">
        <v>394</v>
      </c>
      <c r="C36" s="52">
        <v>1000</v>
      </c>
      <c r="D36" s="50" t="s">
        <v>440</v>
      </c>
      <c r="E36" s="49" t="s">
        <v>404</v>
      </c>
    </row>
    <row r="37" spans="1:5" ht="37.5">
      <c r="A37" s="52">
        <v>9444</v>
      </c>
      <c r="B37" s="50" t="s">
        <v>394</v>
      </c>
      <c r="C37" s="52">
        <v>1000</v>
      </c>
      <c r="D37" s="50" t="s">
        <v>439</v>
      </c>
      <c r="E37" s="49" t="s">
        <v>404</v>
      </c>
    </row>
    <row r="38" spans="1:5" ht="37.5">
      <c r="A38" s="52">
        <v>9445</v>
      </c>
      <c r="B38" s="50" t="s">
        <v>394</v>
      </c>
      <c r="C38" s="52">
        <v>1000</v>
      </c>
      <c r="D38" s="50" t="s">
        <v>438</v>
      </c>
      <c r="E38" s="49" t="s">
        <v>404</v>
      </c>
    </row>
    <row r="39" spans="1:5" ht="37.5">
      <c r="A39" s="52">
        <v>9446</v>
      </c>
      <c r="B39" s="50" t="s">
        <v>394</v>
      </c>
      <c r="C39" s="52">
        <v>1000</v>
      </c>
      <c r="D39" s="50" t="s">
        <v>437</v>
      </c>
      <c r="E39" s="49" t="s">
        <v>404</v>
      </c>
    </row>
    <row r="40" spans="1:5" ht="18.75">
      <c r="A40" s="52">
        <v>9447</v>
      </c>
      <c r="B40" s="50" t="s">
        <v>394</v>
      </c>
      <c r="C40" s="52">
        <v>1000</v>
      </c>
      <c r="D40" s="50" t="s">
        <v>436</v>
      </c>
      <c r="E40" s="50" t="s">
        <v>392</v>
      </c>
    </row>
    <row r="41" spans="1:5" ht="18.75">
      <c r="A41" s="52">
        <v>9448</v>
      </c>
      <c r="B41" s="50" t="s">
        <v>394</v>
      </c>
      <c r="C41" s="52">
        <v>1000</v>
      </c>
      <c r="D41" s="50" t="s">
        <v>435</v>
      </c>
      <c r="E41" s="50" t="s">
        <v>392</v>
      </c>
    </row>
    <row r="42" spans="1:5" ht="18.75">
      <c r="A42" s="52">
        <v>9449</v>
      </c>
      <c r="B42" s="50" t="s">
        <v>394</v>
      </c>
      <c r="C42" s="52">
        <v>1000</v>
      </c>
      <c r="D42" s="50" t="s">
        <v>434</v>
      </c>
      <c r="E42" s="50" t="s">
        <v>392</v>
      </c>
    </row>
    <row r="43" spans="1:5" ht="18.75">
      <c r="A43" s="52">
        <v>9450</v>
      </c>
      <c r="B43" s="50" t="s">
        <v>394</v>
      </c>
      <c r="C43" s="52">
        <v>1000</v>
      </c>
      <c r="D43" s="50" t="s">
        <v>433</v>
      </c>
      <c r="E43" s="50" t="s">
        <v>392</v>
      </c>
    </row>
    <row r="44" spans="1:5" ht="18.75">
      <c r="A44" s="52">
        <v>9451</v>
      </c>
      <c r="B44" s="50" t="s">
        <v>394</v>
      </c>
      <c r="C44" s="52">
        <v>1000</v>
      </c>
      <c r="D44" s="50" t="s">
        <v>432</v>
      </c>
      <c r="E44" s="50" t="s">
        <v>392</v>
      </c>
    </row>
    <row r="45" spans="1:5" ht="18.75">
      <c r="A45" s="52">
        <v>9452</v>
      </c>
      <c r="B45" s="50" t="s">
        <v>394</v>
      </c>
      <c r="C45" s="52">
        <v>1000</v>
      </c>
      <c r="D45" s="50" t="s">
        <v>431</v>
      </c>
      <c r="E45" s="50" t="s">
        <v>392</v>
      </c>
    </row>
    <row r="46" spans="1:5" ht="18.75">
      <c r="A46" s="52">
        <v>9453</v>
      </c>
      <c r="B46" s="50" t="s">
        <v>394</v>
      </c>
      <c r="C46" s="52">
        <v>1000</v>
      </c>
      <c r="D46" s="50" t="s">
        <v>430</v>
      </c>
      <c r="E46" s="50" t="s">
        <v>392</v>
      </c>
    </row>
    <row r="47" spans="1:5" ht="18.75">
      <c r="A47" s="52">
        <v>9454</v>
      </c>
      <c r="B47" s="50" t="s">
        <v>394</v>
      </c>
      <c r="C47" s="52">
        <v>1000</v>
      </c>
      <c r="D47" s="50" t="s">
        <v>429</v>
      </c>
      <c r="E47" s="50" t="s">
        <v>392</v>
      </c>
    </row>
    <row r="48" spans="1:5" ht="18.75">
      <c r="A48" s="52">
        <v>9455</v>
      </c>
      <c r="B48" s="50" t="s">
        <v>394</v>
      </c>
      <c r="C48" s="52">
        <v>1000</v>
      </c>
      <c r="D48" s="50" t="s">
        <v>428</v>
      </c>
      <c r="E48" s="50" t="s">
        <v>392</v>
      </c>
    </row>
    <row r="49" spans="1:5" ht="18.75">
      <c r="A49" s="52">
        <v>9456</v>
      </c>
      <c r="B49" s="50" t="s">
        <v>394</v>
      </c>
      <c r="C49" s="52">
        <v>1000</v>
      </c>
      <c r="D49" s="50" t="s">
        <v>427</v>
      </c>
      <c r="E49" s="50" t="s">
        <v>392</v>
      </c>
    </row>
    <row r="50" spans="1:5" ht="18.75">
      <c r="A50" s="52">
        <v>9457</v>
      </c>
      <c r="B50" s="50" t="s">
        <v>394</v>
      </c>
      <c r="C50" s="52">
        <v>100</v>
      </c>
      <c r="D50" s="50" t="s">
        <v>426</v>
      </c>
      <c r="E50" s="50" t="s">
        <v>425</v>
      </c>
    </row>
    <row r="51" spans="1:5" ht="18.75">
      <c r="A51" s="52">
        <v>9458</v>
      </c>
      <c r="B51" s="50" t="s">
        <v>394</v>
      </c>
      <c r="C51" s="52">
        <v>100</v>
      </c>
      <c r="D51" s="50" t="s">
        <v>424</v>
      </c>
      <c r="E51" s="50" t="s">
        <v>423</v>
      </c>
    </row>
    <row r="52" spans="1:5" ht="37.5">
      <c r="A52" s="52">
        <v>9459</v>
      </c>
      <c r="B52" s="50" t="s">
        <v>389</v>
      </c>
      <c r="C52" s="52">
        <v>100</v>
      </c>
      <c r="D52" s="50" t="s">
        <v>422</v>
      </c>
      <c r="E52" s="49" t="s">
        <v>421</v>
      </c>
    </row>
    <row r="53" spans="1:5" ht="37.5">
      <c r="A53" s="52">
        <v>9460</v>
      </c>
      <c r="B53" s="50" t="s">
        <v>389</v>
      </c>
      <c r="C53" s="52">
        <v>100</v>
      </c>
      <c r="D53" s="50" t="s">
        <v>420</v>
      </c>
      <c r="E53" s="49" t="s">
        <v>418</v>
      </c>
    </row>
    <row r="54" spans="1:5" ht="37.5">
      <c r="A54" s="52">
        <v>9461</v>
      </c>
      <c r="B54" s="50" t="s">
        <v>389</v>
      </c>
      <c r="C54" s="52">
        <v>100</v>
      </c>
      <c r="D54" s="50" t="s">
        <v>419</v>
      </c>
      <c r="E54" s="49" t="s">
        <v>418</v>
      </c>
    </row>
    <row r="55" spans="1:5" ht="37.5">
      <c r="A55" s="52">
        <v>9462</v>
      </c>
      <c r="B55" s="50" t="s">
        <v>416</v>
      </c>
      <c r="C55" s="52">
        <v>100</v>
      </c>
      <c r="D55" s="50" t="s">
        <v>417</v>
      </c>
      <c r="E55" s="49" t="s">
        <v>414</v>
      </c>
    </row>
    <row r="56" spans="1:5" ht="37.5">
      <c r="A56" s="52">
        <v>9464</v>
      </c>
      <c r="B56" s="50" t="s">
        <v>416</v>
      </c>
      <c r="C56" s="52">
        <v>100</v>
      </c>
      <c r="D56" s="50" t="s">
        <v>415</v>
      </c>
      <c r="E56" s="49" t="s">
        <v>414</v>
      </c>
    </row>
    <row r="57" spans="1:5" ht="37.5">
      <c r="A57" s="52">
        <v>9466</v>
      </c>
      <c r="B57" s="51" t="s">
        <v>394</v>
      </c>
      <c r="C57" s="52">
        <v>1000</v>
      </c>
      <c r="D57" s="50" t="s">
        <v>413</v>
      </c>
      <c r="E57" s="49" t="s">
        <v>412</v>
      </c>
    </row>
    <row r="58" spans="1:5" ht="37.5">
      <c r="A58" s="52">
        <v>9467</v>
      </c>
      <c r="B58" s="51" t="s">
        <v>394</v>
      </c>
      <c r="C58" s="52">
        <v>1000</v>
      </c>
      <c r="D58" s="50" t="s">
        <v>411</v>
      </c>
      <c r="E58" s="49" t="s">
        <v>404</v>
      </c>
    </row>
    <row r="59" spans="1:5" ht="37.5">
      <c r="A59" s="52">
        <v>9468</v>
      </c>
      <c r="B59" s="51" t="s">
        <v>394</v>
      </c>
      <c r="C59" s="52">
        <v>1000</v>
      </c>
      <c r="D59" s="50" t="s">
        <v>410</v>
      </c>
      <c r="E59" s="49" t="s">
        <v>404</v>
      </c>
    </row>
    <row r="60" spans="1:5" ht="37.5">
      <c r="A60" s="52">
        <v>9469</v>
      </c>
      <c r="B60" s="51" t="s">
        <v>394</v>
      </c>
      <c r="C60" s="52">
        <v>1000</v>
      </c>
      <c r="D60" s="50" t="s">
        <v>409</v>
      </c>
      <c r="E60" s="49" t="s">
        <v>404</v>
      </c>
    </row>
    <row r="61" spans="1:5" ht="37.5">
      <c r="A61" s="52">
        <v>9470</v>
      </c>
      <c r="B61" s="51" t="s">
        <v>394</v>
      </c>
      <c r="C61" s="52">
        <v>1000</v>
      </c>
      <c r="D61" s="50" t="s">
        <v>408</v>
      </c>
      <c r="E61" s="49" t="s">
        <v>404</v>
      </c>
    </row>
    <row r="62" spans="1:5" ht="37.5">
      <c r="A62" s="52">
        <v>9471</v>
      </c>
      <c r="B62" s="51" t="s">
        <v>394</v>
      </c>
      <c r="C62" s="52">
        <v>1000</v>
      </c>
      <c r="D62" s="50" t="s">
        <v>407</v>
      </c>
      <c r="E62" s="49" t="s">
        <v>404</v>
      </c>
    </row>
    <row r="63" spans="1:5" ht="37.5">
      <c r="A63" s="52">
        <v>9472</v>
      </c>
      <c r="B63" s="51" t="s">
        <v>394</v>
      </c>
      <c r="C63" s="52">
        <v>1000</v>
      </c>
      <c r="D63" s="50" t="s">
        <v>406</v>
      </c>
      <c r="E63" s="49" t="s">
        <v>404</v>
      </c>
    </row>
    <row r="64" spans="1:5" ht="37.5">
      <c r="A64" s="52">
        <v>9473</v>
      </c>
      <c r="B64" s="51" t="s">
        <v>394</v>
      </c>
      <c r="C64" s="52">
        <v>1000</v>
      </c>
      <c r="D64" s="50" t="s">
        <v>405</v>
      </c>
      <c r="E64" s="49" t="s">
        <v>404</v>
      </c>
    </row>
    <row r="65" spans="1:5" ht="18.75">
      <c r="A65" s="52">
        <v>9474</v>
      </c>
      <c r="B65" s="51" t="s">
        <v>394</v>
      </c>
      <c r="C65" s="52">
        <v>1000</v>
      </c>
      <c r="D65" s="50" t="s">
        <v>403</v>
      </c>
      <c r="E65" s="50" t="s">
        <v>392</v>
      </c>
    </row>
    <row r="66" spans="1:5" ht="18.75">
      <c r="A66" s="52">
        <v>9475</v>
      </c>
      <c r="B66" s="51" t="s">
        <v>394</v>
      </c>
      <c r="C66" s="52">
        <v>1000</v>
      </c>
      <c r="D66" s="50" t="s">
        <v>402</v>
      </c>
      <c r="E66" s="50" t="s">
        <v>392</v>
      </c>
    </row>
    <row r="67" spans="1:5" ht="18.75">
      <c r="A67" s="52">
        <v>9476</v>
      </c>
      <c r="B67" s="51" t="s">
        <v>394</v>
      </c>
      <c r="C67" s="52">
        <v>1000</v>
      </c>
      <c r="D67" s="50" t="s">
        <v>401</v>
      </c>
      <c r="E67" s="50" t="s">
        <v>392</v>
      </c>
    </row>
    <row r="68" spans="1:5" ht="18.75">
      <c r="A68" s="52">
        <v>9477</v>
      </c>
      <c r="B68" s="51" t="s">
        <v>394</v>
      </c>
      <c r="C68" s="52">
        <v>1000</v>
      </c>
      <c r="D68" s="50" t="s">
        <v>400</v>
      </c>
      <c r="E68" s="50" t="s">
        <v>392</v>
      </c>
    </row>
    <row r="69" spans="1:5" ht="18.75">
      <c r="A69" s="52">
        <v>9478</v>
      </c>
      <c r="B69" s="51" t="s">
        <v>394</v>
      </c>
      <c r="C69" s="52">
        <v>1000</v>
      </c>
      <c r="D69" s="50" t="s">
        <v>399</v>
      </c>
      <c r="E69" s="50" t="s">
        <v>392</v>
      </c>
    </row>
    <row r="70" spans="1:5" ht="18.75">
      <c r="A70" s="52">
        <v>9479</v>
      </c>
      <c r="B70" s="51" t="s">
        <v>394</v>
      </c>
      <c r="C70" s="52">
        <v>1000</v>
      </c>
      <c r="D70" s="50" t="s">
        <v>398</v>
      </c>
      <c r="E70" s="50" t="s">
        <v>392</v>
      </c>
    </row>
    <row r="71" spans="1:5" ht="18.75">
      <c r="A71" s="52">
        <v>9480</v>
      </c>
      <c r="B71" s="51" t="s">
        <v>394</v>
      </c>
      <c r="C71" s="52">
        <v>1000</v>
      </c>
      <c r="D71" s="50" t="s">
        <v>397</v>
      </c>
      <c r="E71" s="50" t="s">
        <v>392</v>
      </c>
    </row>
    <row r="72" spans="1:5" ht="18.75">
      <c r="A72" s="52">
        <v>9481</v>
      </c>
      <c r="B72" s="51" t="s">
        <v>394</v>
      </c>
      <c r="C72" s="52">
        <v>1000</v>
      </c>
      <c r="D72" s="50" t="s">
        <v>396</v>
      </c>
      <c r="E72" s="50" t="s">
        <v>392</v>
      </c>
    </row>
    <row r="73" spans="1:5" ht="18.75">
      <c r="A73" s="52">
        <v>9482</v>
      </c>
      <c r="B73" s="51" t="s">
        <v>394</v>
      </c>
      <c r="C73" s="52">
        <v>1000</v>
      </c>
      <c r="D73" s="50" t="s">
        <v>395</v>
      </c>
      <c r="E73" s="50" t="s">
        <v>392</v>
      </c>
    </row>
    <row r="74" spans="1:5" ht="18.75">
      <c r="A74" s="52">
        <v>9483</v>
      </c>
      <c r="B74" s="51" t="s">
        <v>394</v>
      </c>
      <c r="C74" s="52">
        <v>1000</v>
      </c>
      <c r="D74" s="50" t="s">
        <v>393</v>
      </c>
      <c r="E74" s="50" t="s">
        <v>392</v>
      </c>
    </row>
    <row r="75" spans="1:5" ht="37.5">
      <c r="A75" s="52">
        <v>9485</v>
      </c>
      <c r="B75" s="53" t="s">
        <v>389</v>
      </c>
      <c r="C75" s="52">
        <v>100</v>
      </c>
      <c r="D75" s="50" t="s">
        <v>391</v>
      </c>
      <c r="E75" s="49" t="s">
        <v>387</v>
      </c>
    </row>
    <row r="76" spans="1:5" ht="37.5">
      <c r="A76" s="52">
        <v>9486</v>
      </c>
      <c r="B76" s="53" t="s">
        <v>389</v>
      </c>
      <c r="C76" s="52">
        <v>100</v>
      </c>
      <c r="D76" s="50" t="s">
        <v>390</v>
      </c>
      <c r="E76" s="49" t="s">
        <v>387</v>
      </c>
    </row>
    <row r="77" spans="1:5" ht="38.25" customHeight="1">
      <c r="A77" s="52">
        <v>9487</v>
      </c>
      <c r="B77" s="53" t="s">
        <v>389</v>
      </c>
      <c r="C77" s="52">
        <v>100</v>
      </c>
      <c r="D77" s="50" t="s">
        <v>388</v>
      </c>
      <c r="E77" s="49" t="s">
        <v>387</v>
      </c>
    </row>
    <row r="78" spans="1:5" ht="24.95" customHeight="1"/>
    <row r="79" spans="1:5" ht="15.95" customHeight="1"/>
    <row r="80" spans="1:5" ht="15.95" customHeight="1"/>
    <row r="81" ht="11.25" customHeight="1"/>
    <row r="82" ht="24.95" customHeight="1"/>
    <row r="83" ht="24.95" customHeight="1"/>
    <row r="84" ht="26.1" customHeight="1"/>
    <row r="85" ht="24.95" customHeight="1"/>
    <row r="86" ht="26.1" customHeight="1"/>
    <row r="87" ht="24.95" customHeight="1"/>
    <row r="88" ht="24.95" customHeight="1"/>
    <row r="89" ht="26.1" customHeight="1"/>
    <row r="90" ht="24.95" customHeight="1"/>
    <row r="91" ht="24.95" customHeight="1"/>
    <row r="92" ht="26.1" customHeight="1"/>
    <row r="93" ht="24.95" customHeight="1"/>
    <row r="94" ht="26.1" customHeight="1"/>
    <row r="95" ht="24.95" customHeight="1"/>
    <row r="96" ht="24.95" customHeight="1"/>
    <row r="97" ht="26.1" customHeight="1"/>
    <row r="98" ht="24.95" customHeight="1"/>
    <row r="99" ht="24.95" customHeight="1"/>
    <row r="100" ht="26.1" customHeight="1"/>
    <row r="101" ht="24.95" customHeight="1"/>
    <row r="102" ht="26.1" customHeight="1"/>
    <row r="103" ht="24.95" customHeight="1"/>
    <row r="104" ht="24.95" customHeight="1"/>
    <row r="105" ht="15.95" customHeight="1"/>
  </sheetData>
  <mergeCells count="1">
    <mergeCell ref="A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38B-D362-439F-BB91-C2A1F65B02D2}">
  <dimension ref="B1:E29"/>
  <sheetViews>
    <sheetView workbookViewId="0">
      <selection activeCell="D6" sqref="B6:E23"/>
    </sheetView>
  </sheetViews>
  <sheetFormatPr defaultRowHeight="15"/>
  <cols>
    <col min="2" max="2" width="13.5703125" customWidth="1"/>
    <col min="3" max="3" width="11.5703125" customWidth="1"/>
    <col min="4" max="4" width="58" customWidth="1"/>
    <col min="5" max="5" width="33.5703125" customWidth="1"/>
    <col min="7" max="7" width="23.28515625" customWidth="1"/>
    <col min="8" max="8" width="27.7109375" customWidth="1"/>
  </cols>
  <sheetData>
    <row r="1" spans="2:5">
      <c r="B1" s="87" t="s">
        <v>512</v>
      </c>
      <c r="C1" s="87"/>
      <c r="D1" s="87"/>
      <c r="E1" s="87"/>
    </row>
    <row r="2" spans="2:5">
      <c r="B2" s="87"/>
      <c r="C2" s="87"/>
      <c r="D2" s="87"/>
      <c r="E2" s="87"/>
    </row>
    <row r="3" spans="2:5">
      <c r="B3" s="87"/>
      <c r="C3" s="87"/>
      <c r="D3" s="87"/>
      <c r="E3" s="87"/>
    </row>
    <row r="5" spans="2:5" ht="21">
      <c r="B5" s="23" t="s">
        <v>167</v>
      </c>
      <c r="C5" s="23" t="s">
        <v>510</v>
      </c>
      <c r="D5" s="17" t="s">
        <v>511</v>
      </c>
    </row>
    <row r="6" spans="2:5" ht="18.75">
      <c r="B6" s="19">
        <v>3002</v>
      </c>
      <c r="C6" s="19">
        <v>187.1</v>
      </c>
      <c r="D6" s="19" t="s">
        <v>509</v>
      </c>
      <c r="E6" s="19" t="s">
        <v>491</v>
      </c>
    </row>
    <row r="7" spans="2:5" ht="18.75">
      <c r="B7" s="19">
        <v>3316</v>
      </c>
      <c r="C7" s="19">
        <v>207.04</v>
      </c>
      <c r="D7" s="19" t="s">
        <v>508</v>
      </c>
      <c r="E7" s="19" t="s">
        <v>491</v>
      </c>
    </row>
    <row r="8" spans="2:5" ht="18.75">
      <c r="B8" s="19">
        <v>2752</v>
      </c>
      <c r="C8" s="19">
        <v>172</v>
      </c>
      <c r="D8" s="85" t="s">
        <v>507</v>
      </c>
      <c r="E8" s="19" t="s">
        <v>491</v>
      </c>
    </row>
    <row r="9" spans="2:5" ht="18.75">
      <c r="B9" s="19">
        <v>2754</v>
      </c>
      <c r="C9" s="19">
        <v>172.02</v>
      </c>
      <c r="D9" s="85"/>
      <c r="E9" s="19" t="s">
        <v>490</v>
      </c>
    </row>
    <row r="10" spans="2:5" ht="18.75">
      <c r="B10" s="19">
        <v>2756</v>
      </c>
      <c r="C10" s="19">
        <v>172.04</v>
      </c>
      <c r="D10" s="85"/>
      <c r="E10" s="19" t="s">
        <v>489</v>
      </c>
    </row>
    <row r="11" spans="2:5" ht="18.75">
      <c r="B11" s="19">
        <v>2758</v>
      </c>
      <c r="C11" s="19">
        <v>172.06</v>
      </c>
      <c r="D11" s="85"/>
      <c r="E11" s="19" t="s">
        <v>488</v>
      </c>
    </row>
    <row r="12" spans="2:5" ht="18.75">
      <c r="B12" s="19">
        <v>2760</v>
      </c>
      <c r="C12" s="19">
        <v>172.08</v>
      </c>
      <c r="D12" s="19" t="s">
        <v>506</v>
      </c>
      <c r="E12" s="19" t="s">
        <v>491</v>
      </c>
    </row>
    <row r="13" spans="2:5" ht="18.75">
      <c r="B13" s="19">
        <v>2764</v>
      </c>
      <c r="C13" s="19">
        <v>172.12</v>
      </c>
      <c r="D13" s="19" t="s">
        <v>505</v>
      </c>
      <c r="E13" s="19" t="s">
        <v>491</v>
      </c>
    </row>
    <row r="14" spans="2:5" ht="18.75">
      <c r="B14" s="86" t="s">
        <v>504</v>
      </c>
      <c r="C14" s="86"/>
      <c r="D14" s="86"/>
      <c r="E14" s="86"/>
    </row>
    <row r="15" spans="2:5" ht="18.75">
      <c r="B15" s="19">
        <v>2848</v>
      </c>
      <c r="C15" s="19">
        <v>178</v>
      </c>
      <c r="D15" s="19" t="s">
        <v>503</v>
      </c>
      <c r="E15" s="19" t="s">
        <v>491</v>
      </c>
    </row>
    <row r="16" spans="2:5" ht="18.75">
      <c r="B16" s="19">
        <v>2849</v>
      </c>
      <c r="C16" s="19">
        <v>178.01</v>
      </c>
      <c r="D16" s="19" t="s">
        <v>502</v>
      </c>
      <c r="E16" s="19" t="s">
        <v>491</v>
      </c>
    </row>
    <row r="17" spans="2:5" ht="18.75">
      <c r="B17" s="19">
        <v>2850</v>
      </c>
      <c r="C17" s="19">
        <v>178.02</v>
      </c>
      <c r="D17" s="19" t="s">
        <v>501</v>
      </c>
      <c r="E17" s="19" t="s">
        <v>491</v>
      </c>
    </row>
    <row r="18" spans="2:5" ht="18.75">
      <c r="B18" s="19">
        <v>2851</v>
      </c>
      <c r="C18" s="19">
        <v>178.03</v>
      </c>
      <c r="D18" s="19" t="s">
        <v>500</v>
      </c>
      <c r="E18" s="19" t="s">
        <v>491</v>
      </c>
    </row>
    <row r="19" spans="2:5" ht="18.75">
      <c r="B19" s="19">
        <v>2853</v>
      </c>
      <c r="C19" s="19">
        <v>178.05</v>
      </c>
      <c r="D19" s="19" t="s">
        <v>499</v>
      </c>
      <c r="E19" s="19" t="s">
        <v>491</v>
      </c>
    </row>
    <row r="20" spans="2:5" ht="18.75">
      <c r="B20" s="19">
        <v>2854</v>
      </c>
      <c r="C20" s="19">
        <v>178.06</v>
      </c>
      <c r="D20" s="19" t="s">
        <v>498</v>
      </c>
      <c r="E20" s="19" t="s">
        <v>491</v>
      </c>
    </row>
    <row r="21" spans="2:5" ht="18.75">
      <c r="B21" s="19">
        <v>2858</v>
      </c>
      <c r="C21" s="19">
        <v>178.1</v>
      </c>
      <c r="D21" s="19" t="s">
        <v>497</v>
      </c>
      <c r="E21" s="19" t="s">
        <v>491</v>
      </c>
    </row>
    <row r="22" spans="2:5" ht="18.75">
      <c r="B22" s="19">
        <v>2974</v>
      </c>
      <c r="C22" s="19">
        <v>185.14</v>
      </c>
      <c r="D22" s="19" t="s">
        <v>496</v>
      </c>
      <c r="E22" s="19" t="s">
        <v>491</v>
      </c>
    </row>
    <row r="23" spans="2:5" ht="18.75">
      <c r="B23" s="19">
        <v>2780</v>
      </c>
      <c r="C23" s="19">
        <v>173.12</v>
      </c>
      <c r="D23" s="19" t="s">
        <v>495</v>
      </c>
      <c r="E23" s="19" t="s">
        <v>491</v>
      </c>
    </row>
    <row r="24" spans="2:5" ht="18.75">
      <c r="B24" s="19">
        <v>2782</v>
      </c>
      <c r="C24" s="19">
        <v>173.14</v>
      </c>
      <c r="D24" s="19" t="s">
        <v>494</v>
      </c>
      <c r="E24" s="19" t="s">
        <v>491</v>
      </c>
    </row>
    <row r="25" spans="2:5" ht="18.75">
      <c r="B25" s="19">
        <v>3318</v>
      </c>
      <c r="C25" s="19">
        <v>207.06</v>
      </c>
      <c r="D25" s="19" t="s">
        <v>493</v>
      </c>
      <c r="E25" s="19" t="s">
        <v>491</v>
      </c>
    </row>
    <row r="26" spans="2:5" ht="18.75">
      <c r="B26" s="19">
        <v>2784</v>
      </c>
      <c r="C26" s="19">
        <v>174</v>
      </c>
      <c r="D26" s="85" t="s">
        <v>492</v>
      </c>
      <c r="E26" s="19" t="s">
        <v>491</v>
      </c>
    </row>
    <row r="27" spans="2:5" ht="18.75">
      <c r="B27" s="19">
        <v>2786</v>
      </c>
      <c r="C27" s="19">
        <v>174.02</v>
      </c>
      <c r="D27" s="85"/>
      <c r="E27" s="19" t="s">
        <v>490</v>
      </c>
    </row>
    <row r="28" spans="2:5" ht="18.75">
      <c r="B28" s="19">
        <v>2788</v>
      </c>
      <c r="C28" s="19">
        <v>174.04</v>
      </c>
      <c r="D28" s="85"/>
      <c r="E28" s="19" t="s">
        <v>489</v>
      </c>
    </row>
    <row r="29" spans="2:5" ht="18.75">
      <c r="B29" s="19">
        <v>2790</v>
      </c>
      <c r="C29" s="19">
        <v>174.06</v>
      </c>
      <c r="D29" s="85"/>
      <c r="E29" s="19" t="s">
        <v>488</v>
      </c>
    </row>
  </sheetData>
  <mergeCells count="4">
    <mergeCell ref="D8:D11"/>
    <mergeCell ref="B14:E14"/>
    <mergeCell ref="D26:D29"/>
    <mergeCell ref="B1:E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835-AB4E-4F24-883D-8A484BE9C4C3}">
  <dimension ref="A1:X153"/>
  <sheetViews>
    <sheetView workbookViewId="0">
      <selection activeCell="A2" sqref="A2:P3"/>
    </sheetView>
  </sheetViews>
  <sheetFormatPr defaultRowHeight="12.75"/>
  <cols>
    <col min="1" max="1" width="8.7109375" style="40" bestFit="1" customWidth="1"/>
    <col min="2" max="2" width="18.42578125" style="40" customWidth="1"/>
    <col min="3" max="3" width="33.85546875" style="40" customWidth="1"/>
    <col min="4" max="4" width="13.28515625" style="40" customWidth="1"/>
    <col min="5" max="5" width="10.7109375" style="40" customWidth="1"/>
    <col min="6" max="6" width="2.85546875" style="40" customWidth="1"/>
    <col min="7" max="7" width="1.85546875" style="40" customWidth="1"/>
    <col min="8" max="8" width="5.85546875" style="40" customWidth="1"/>
    <col min="9" max="9" width="15.5703125" style="40" customWidth="1"/>
    <col min="10" max="10" width="5.85546875" style="40" customWidth="1"/>
    <col min="11" max="11" width="11.7109375" style="40" customWidth="1"/>
    <col min="12" max="12" width="15.85546875" style="40" customWidth="1"/>
    <col min="13" max="13" width="21.85546875" style="40" customWidth="1"/>
    <col min="14" max="14" width="21.5703125" style="40" customWidth="1"/>
    <col min="15" max="15" width="13.140625" style="40" customWidth="1"/>
    <col min="16" max="16" width="10.28515625" style="40" customWidth="1"/>
    <col min="17" max="17" width="22.28515625" style="40" customWidth="1"/>
    <col min="18" max="18" width="3.140625" style="40" customWidth="1"/>
    <col min="19" max="19" width="4" style="40" customWidth="1"/>
    <col min="20" max="20" width="10.28515625" style="40" customWidth="1"/>
    <col min="21" max="21" width="8" style="40" customWidth="1"/>
    <col min="22" max="22" width="1" style="40" customWidth="1"/>
    <col min="23" max="23" width="4" style="40" customWidth="1"/>
    <col min="24" max="24" width="12" style="40" customWidth="1"/>
    <col min="25" max="16384" width="9.140625" style="40"/>
  </cols>
  <sheetData>
    <row r="1" spans="1:24" ht="33.6" customHeight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</row>
    <row r="2" spans="1:24" ht="72" customHeight="1">
      <c r="A2" s="96" t="s">
        <v>385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  <c r="X2" s="41"/>
    </row>
    <row r="3" spans="1:24" ht="13.5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1"/>
      <c r="Q3" s="89"/>
      <c r="R3" s="90"/>
      <c r="S3" s="91"/>
      <c r="T3" s="92"/>
      <c r="U3" s="46"/>
      <c r="X3" s="41"/>
    </row>
    <row r="4" spans="1:24" ht="37.5">
      <c r="A4" s="48" t="s">
        <v>384</v>
      </c>
      <c r="B4" s="93" t="s">
        <v>383</v>
      </c>
      <c r="C4" s="94"/>
      <c r="D4" s="93" t="s">
        <v>382</v>
      </c>
      <c r="E4" s="95"/>
      <c r="F4" s="95"/>
      <c r="G4" s="94"/>
      <c r="H4" s="93" t="s">
        <v>381</v>
      </c>
      <c r="I4" s="95"/>
      <c r="J4" s="95"/>
      <c r="K4" s="95"/>
      <c r="L4" s="95"/>
      <c r="M4" s="95"/>
      <c r="N4" s="94"/>
      <c r="O4" s="93" t="s">
        <v>380</v>
      </c>
      <c r="P4" s="94"/>
      <c r="Q4" s="93" t="s">
        <v>379</v>
      </c>
      <c r="R4" s="94"/>
      <c r="S4" s="47" t="s">
        <v>378</v>
      </c>
    </row>
    <row r="5" spans="1:24" ht="13.5">
      <c r="A5" s="46">
        <v>1100</v>
      </c>
      <c r="B5" s="89" t="s">
        <v>377</v>
      </c>
      <c r="C5" s="90"/>
      <c r="D5" s="91">
        <v>5</v>
      </c>
      <c r="E5" s="102"/>
      <c r="F5" s="102"/>
      <c r="G5" s="92"/>
      <c r="H5" s="89" t="s">
        <v>376</v>
      </c>
      <c r="I5" s="103"/>
      <c r="J5" s="103"/>
      <c r="K5" s="103"/>
      <c r="L5" s="103"/>
      <c r="M5" s="103"/>
      <c r="N5" s="90"/>
      <c r="O5" s="89" t="s">
        <v>271</v>
      </c>
      <c r="P5" s="90"/>
      <c r="Q5" s="91">
        <v>50000</v>
      </c>
      <c r="R5" s="92"/>
      <c r="S5" s="46">
        <v>4</v>
      </c>
    </row>
    <row r="6" spans="1:24" ht="13.5">
      <c r="A6" s="46">
        <v>1101</v>
      </c>
      <c r="B6" s="89" t="s">
        <v>373</v>
      </c>
      <c r="C6" s="90"/>
      <c r="D6" s="91">
        <v>4</v>
      </c>
      <c r="E6" s="102"/>
      <c r="F6" s="102"/>
      <c r="G6" s="92"/>
      <c r="H6" s="104" t="s">
        <v>375</v>
      </c>
      <c r="I6" s="105"/>
      <c r="J6" s="105"/>
      <c r="K6" s="105"/>
      <c r="L6" s="105"/>
      <c r="M6" s="105"/>
      <c r="N6" s="106"/>
      <c r="O6" s="89" t="s">
        <v>374</v>
      </c>
      <c r="P6" s="90"/>
      <c r="Q6" s="91">
        <v>50000</v>
      </c>
      <c r="R6" s="92"/>
      <c r="S6" s="46">
        <v>11</v>
      </c>
    </row>
    <row r="7" spans="1:24" ht="13.5">
      <c r="A7" s="46">
        <v>1101</v>
      </c>
      <c r="B7" s="89" t="s">
        <v>373</v>
      </c>
      <c r="C7" s="90"/>
      <c r="D7" s="91">
        <v>5</v>
      </c>
      <c r="E7" s="102"/>
      <c r="F7" s="102"/>
      <c r="G7" s="92"/>
      <c r="H7" s="89" t="s">
        <v>372</v>
      </c>
      <c r="I7" s="103"/>
      <c r="J7" s="103"/>
      <c r="K7" s="103"/>
      <c r="L7" s="103"/>
      <c r="M7" s="103"/>
      <c r="N7" s="90"/>
      <c r="O7" s="89" t="s">
        <v>271</v>
      </c>
      <c r="P7" s="90"/>
      <c r="Q7" s="91">
        <v>50000</v>
      </c>
      <c r="R7" s="92"/>
      <c r="S7" s="46">
        <v>12</v>
      </c>
    </row>
    <row r="8" spans="1:24" ht="13.5">
      <c r="A8" s="46">
        <v>1103</v>
      </c>
      <c r="B8" s="104" t="s">
        <v>371</v>
      </c>
      <c r="C8" s="106"/>
      <c r="D8" s="91">
        <v>1</v>
      </c>
      <c r="E8" s="102"/>
      <c r="F8" s="102"/>
      <c r="G8" s="92"/>
      <c r="H8" s="89" t="s">
        <v>370</v>
      </c>
      <c r="I8" s="103"/>
      <c r="J8" s="103"/>
      <c r="K8" s="103"/>
      <c r="L8" s="103"/>
      <c r="M8" s="103"/>
      <c r="N8" s="90"/>
      <c r="O8" s="89" t="s">
        <v>271</v>
      </c>
      <c r="P8" s="90"/>
      <c r="Q8" s="91">
        <v>50001</v>
      </c>
      <c r="R8" s="92"/>
      <c r="S8" s="46">
        <v>1</v>
      </c>
    </row>
    <row r="9" spans="1:24" ht="13.5">
      <c r="A9" s="46">
        <v>1104</v>
      </c>
      <c r="B9" s="89" t="s">
        <v>369</v>
      </c>
      <c r="C9" s="90"/>
      <c r="D9" s="91">
        <v>1</v>
      </c>
      <c r="E9" s="102"/>
      <c r="F9" s="102"/>
      <c r="G9" s="92"/>
      <c r="H9" s="89" t="s">
        <v>368</v>
      </c>
      <c r="I9" s="103"/>
      <c r="J9" s="103"/>
      <c r="K9" s="103"/>
      <c r="L9" s="103"/>
      <c r="M9" s="103"/>
      <c r="N9" s="90"/>
      <c r="O9" s="89" t="s">
        <v>271</v>
      </c>
      <c r="P9" s="90"/>
      <c r="Q9" s="91">
        <v>50001</v>
      </c>
      <c r="R9" s="92"/>
      <c r="S9" s="46">
        <v>2</v>
      </c>
    </row>
    <row r="10" spans="1:24" ht="13.5">
      <c r="A10" s="46">
        <v>1105</v>
      </c>
      <c r="B10" s="89" t="s">
        <v>367</v>
      </c>
      <c r="C10" s="90"/>
      <c r="D10" s="91">
        <v>1</v>
      </c>
      <c r="E10" s="102"/>
      <c r="F10" s="102"/>
      <c r="G10" s="92"/>
      <c r="H10" s="89" t="s">
        <v>366</v>
      </c>
      <c r="I10" s="103"/>
      <c r="J10" s="103"/>
      <c r="K10" s="103"/>
      <c r="L10" s="103"/>
      <c r="M10" s="103"/>
      <c r="N10" s="90"/>
      <c r="O10" s="89" t="s">
        <v>271</v>
      </c>
      <c r="P10" s="90"/>
      <c r="Q10" s="91">
        <v>50001</v>
      </c>
      <c r="R10" s="92"/>
      <c r="S10" s="46">
        <v>3</v>
      </c>
    </row>
    <row r="11" spans="1:24" ht="13.5">
      <c r="A11" s="46">
        <v>1106</v>
      </c>
      <c r="B11" s="104" t="s">
        <v>365</v>
      </c>
      <c r="C11" s="106"/>
      <c r="D11" s="91">
        <v>1</v>
      </c>
      <c r="E11" s="102"/>
      <c r="F11" s="102"/>
      <c r="G11" s="92"/>
      <c r="H11" s="89" t="s">
        <v>364</v>
      </c>
      <c r="I11" s="103"/>
      <c r="J11" s="103"/>
      <c r="K11" s="103"/>
      <c r="L11" s="103"/>
      <c r="M11" s="103"/>
      <c r="N11" s="90"/>
      <c r="O11" s="89" t="s">
        <v>271</v>
      </c>
      <c r="P11" s="90"/>
      <c r="Q11" s="91">
        <v>50001</v>
      </c>
      <c r="R11" s="92"/>
      <c r="S11" s="46">
        <v>4</v>
      </c>
    </row>
    <row r="12" spans="1:24" ht="13.5">
      <c r="A12" s="46">
        <v>1115</v>
      </c>
      <c r="B12" s="104" t="s">
        <v>363</v>
      </c>
      <c r="C12" s="106"/>
      <c r="D12" s="91">
        <v>1</v>
      </c>
      <c r="E12" s="102"/>
      <c r="F12" s="102"/>
      <c r="G12" s="92"/>
      <c r="H12" s="89" t="s">
        <v>362</v>
      </c>
      <c r="I12" s="103"/>
      <c r="J12" s="103"/>
      <c r="K12" s="103"/>
      <c r="L12" s="103"/>
      <c r="M12" s="103"/>
      <c r="N12" s="90"/>
      <c r="O12" s="89" t="s">
        <v>271</v>
      </c>
      <c r="P12" s="90"/>
      <c r="Q12" s="91">
        <v>50001</v>
      </c>
      <c r="R12" s="92"/>
      <c r="S12" s="46">
        <v>13</v>
      </c>
    </row>
    <row r="13" spans="1:24" ht="13.5">
      <c r="A13" s="46">
        <v>1116</v>
      </c>
      <c r="B13" s="89" t="s">
        <v>361</v>
      </c>
      <c r="C13" s="90"/>
      <c r="D13" s="91">
        <v>1</v>
      </c>
      <c r="E13" s="102"/>
      <c r="F13" s="102"/>
      <c r="G13" s="92"/>
      <c r="H13" s="89" t="s">
        <v>361</v>
      </c>
      <c r="I13" s="103"/>
      <c r="J13" s="103"/>
      <c r="K13" s="103"/>
      <c r="L13" s="103"/>
      <c r="M13" s="103"/>
      <c r="N13" s="90"/>
      <c r="O13" s="89" t="s">
        <v>327</v>
      </c>
      <c r="P13" s="90"/>
      <c r="Q13" s="91">
        <v>50002</v>
      </c>
      <c r="R13" s="92"/>
      <c r="S13" s="46">
        <v>0</v>
      </c>
    </row>
    <row r="14" spans="1:24" ht="13.5">
      <c r="A14" s="46">
        <v>1117</v>
      </c>
      <c r="B14" s="89" t="s">
        <v>360</v>
      </c>
      <c r="C14" s="90"/>
      <c r="D14" s="91">
        <v>1</v>
      </c>
      <c r="E14" s="102"/>
      <c r="F14" s="102"/>
      <c r="G14" s="92"/>
      <c r="H14" s="89" t="s">
        <v>360</v>
      </c>
      <c r="I14" s="103"/>
      <c r="J14" s="103"/>
      <c r="K14" s="103"/>
      <c r="L14" s="103"/>
      <c r="M14" s="103"/>
      <c r="N14" s="90"/>
      <c r="O14" s="89" t="s">
        <v>327</v>
      </c>
      <c r="P14" s="90"/>
      <c r="Q14" s="91">
        <v>50002</v>
      </c>
      <c r="R14" s="92"/>
      <c r="S14" s="46">
        <v>1</v>
      </c>
    </row>
    <row r="15" spans="1:24" ht="13.5">
      <c r="A15" s="46">
        <v>1118</v>
      </c>
      <c r="B15" s="89" t="s">
        <v>359</v>
      </c>
      <c r="C15" s="90"/>
      <c r="D15" s="91">
        <v>1</v>
      </c>
      <c r="E15" s="102"/>
      <c r="F15" s="102"/>
      <c r="G15" s="92"/>
      <c r="H15" s="89" t="s">
        <v>359</v>
      </c>
      <c r="I15" s="103"/>
      <c r="J15" s="103"/>
      <c r="K15" s="103"/>
      <c r="L15" s="103"/>
      <c r="M15" s="103"/>
      <c r="N15" s="90"/>
      <c r="O15" s="89" t="s">
        <v>271</v>
      </c>
      <c r="P15" s="90"/>
      <c r="Q15" s="91">
        <v>50002</v>
      </c>
      <c r="R15" s="92"/>
      <c r="S15" s="46">
        <v>2</v>
      </c>
    </row>
    <row r="16" spans="1:24" ht="13.5">
      <c r="A16" s="46">
        <v>1119</v>
      </c>
      <c r="B16" s="89" t="s">
        <v>358</v>
      </c>
      <c r="C16" s="90"/>
      <c r="D16" s="91">
        <v>1</v>
      </c>
      <c r="E16" s="102"/>
      <c r="F16" s="102"/>
      <c r="G16" s="92"/>
      <c r="H16" s="104" t="s">
        <v>357</v>
      </c>
      <c r="I16" s="105"/>
      <c r="J16" s="105"/>
      <c r="K16" s="105"/>
      <c r="L16" s="105"/>
      <c r="M16" s="105"/>
      <c r="N16" s="106"/>
      <c r="O16" s="89" t="s">
        <v>327</v>
      </c>
      <c r="P16" s="90"/>
      <c r="Q16" s="91">
        <v>50001</v>
      </c>
      <c r="R16" s="92"/>
      <c r="S16" s="46">
        <v>14</v>
      </c>
    </row>
    <row r="17" spans="1:19" ht="13.5">
      <c r="A17" s="46">
        <v>1120</v>
      </c>
      <c r="B17" s="89" t="s">
        <v>356</v>
      </c>
      <c r="C17" s="90"/>
      <c r="D17" s="91">
        <v>1</v>
      </c>
      <c r="E17" s="102"/>
      <c r="F17" s="102"/>
      <c r="G17" s="92"/>
      <c r="H17" s="89" t="s">
        <v>355</v>
      </c>
      <c r="I17" s="103"/>
      <c r="J17" s="103"/>
      <c r="K17" s="103"/>
      <c r="L17" s="103"/>
      <c r="M17" s="103"/>
      <c r="N17" s="90"/>
      <c r="O17" s="89" t="s">
        <v>327</v>
      </c>
      <c r="P17" s="90"/>
      <c r="Q17" s="91">
        <v>50002</v>
      </c>
      <c r="R17" s="92"/>
      <c r="S17" s="46">
        <v>3</v>
      </c>
    </row>
    <row r="18" spans="1:19" ht="13.5">
      <c r="A18" s="46">
        <v>1121</v>
      </c>
      <c r="B18" s="89" t="s">
        <v>354</v>
      </c>
      <c r="C18" s="90"/>
      <c r="D18" s="91">
        <v>1</v>
      </c>
      <c r="E18" s="102"/>
      <c r="F18" s="102"/>
      <c r="G18" s="92"/>
      <c r="H18" s="89" t="s">
        <v>353</v>
      </c>
      <c r="I18" s="103"/>
      <c r="J18" s="103"/>
      <c r="K18" s="103"/>
      <c r="L18" s="103"/>
      <c r="M18" s="103"/>
      <c r="N18" s="90"/>
      <c r="O18" s="89" t="s">
        <v>327</v>
      </c>
      <c r="P18" s="90"/>
      <c r="Q18" s="91">
        <v>50002</v>
      </c>
      <c r="R18" s="92"/>
      <c r="S18" s="46">
        <v>4</v>
      </c>
    </row>
    <row r="19" spans="1:19" ht="13.5">
      <c r="A19" s="46">
        <v>1122</v>
      </c>
      <c r="B19" s="89" t="s">
        <v>352</v>
      </c>
      <c r="C19" s="90"/>
      <c r="D19" s="91">
        <v>1</v>
      </c>
      <c r="E19" s="102"/>
      <c r="F19" s="102"/>
      <c r="G19" s="92"/>
      <c r="H19" s="89" t="s">
        <v>351</v>
      </c>
      <c r="I19" s="103"/>
      <c r="J19" s="103"/>
      <c r="K19" s="103"/>
      <c r="L19" s="103"/>
      <c r="M19" s="103"/>
      <c r="N19" s="90"/>
      <c r="O19" s="89" t="s">
        <v>271</v>
      </c>
      <c r="P19" s="90"/>
      <c r="Q19" s="91">
        <v>50002</v>
      </c>
      <c r="R19" s="92"/>
      <c r="S19" s="46">
        <v>6</v>
      </c>
    </row>
    <row r="20" spans="1:19" ht="13.5">
      <c r="A20" s="46">
        <v>1120</v>
      </c>
      <c r="B20" s="89" t="s">
        <v>349</v>
      </c>
      <c r="C20" s="90"/>
      <c r="D20" s="91">
        <v>3</v>
      </c>
      <c r="E20" s="102"/>
      <c r="F20" s="102"/>
      <c r="G20" s="92"/>
      <c r="H20" s="89" t="s">
        <v>350</v>
      </c>
      <c r="I20" s="103"/>
      <c r="J20" s="103"/>
      <c r="K20" s="103"/>
      <c r="L20" s="103"/>
      <c r="M20" s="103"/>
      <c r="N20" s="90"/>
      <c r="O20" s="89" t="s">
        <v>327</v>
      </c>
      <c r="P20" s="90"/>
      <c r="Q20" s="91">
        <v>50003</v>
      </c>
      <c r="R20" s="92"/>
      <c r="S20" s="46">
        <v>5</v>
      </c>
    </row>
    <row r="21" spans="1:19" ht="13.5">
      <c r="A21" s="46">
        <v>1120</v>
      </c>
      <c r="B21" s="89" t="s">
        <v>349</v>
      </c>
      <c r="C21" s="90"/>
      <c r="D21" s="91">
        <v>2</v>
      </c>
      <c r="E21" s="102"/>
      <c r="F21" s="102"/>
      <c r="G21" s="92"/>
      <c r="H21" s="89" t="s">
        <v>348</v>
      </c>
      <c r="I21" s="103"/>
      <c r="J21" s="103"/>
      <c r="K21" s="103"/>
      <c r="L21" s="103"/>
      <c r="M21" s="103"/>
      <c r="N21" s="90"/>
      <c r="O21" s="89" t="s">
        <v>327</v>
      </c>
      <c r="P21" s="90"/>
      <c r="Q21" s="91">
        <v>50003</v>
      </c>
      <c r="R21" s="92"/>
      <c r="S21" s="46">
        <v>0</v>
      </c>
    </row>
    <row r="22" spans="1:19" ht="13.5">
      <c r="A22" s="46">
        <v>1121</v>
      </c>
      <c r="B22" s="89" t="s">
        <v>347</v>
      </c>
      <c r="C22" s="90"/>
      <c r="D22" s="91">
        <v>2</v>
      </c>
      <c r="E22" s="102"/>
      <c r="F22" s="102"/>
      <c r="G22" s="92"/>
      <c r="H22" s="89" t="s">
        <v>346</v>
      </c>
      <c r="I22" s="103"/>
      <c r="J22" s="103"/>
      <c r="K22" s="103"/>
      <c r="L22" s="103"/>
      <c r="M22" s="103"/>
      <c r="N22" s="90"/>
      <c r="O22" s="89" t="s">
        <v>327</v>
      </c>
      <c r="P22" s="90"/>
      <c r="Q22" s="91">
        <v>50003</v>
      </c>
      <c r="R22" s="92"/>
      <c r="S22" s="46">
        <v>1</v>
      </c>
    </row>
    <row r="23" spans="1:19" ht="13.5">
      <c r="A23" s="46">
        <v>1121</v>
      </c>
      <c r="B23" s="89" t="s">
        <v>347</v>
      </c>
      <c r="C23" s="90"/>
      <c r="D23" s="91">
        <v>1</v>
      </c>
      <c r="E23" s="102"/>
      <c r="F23" s="102"/>
      <c r="G23" s="92"/>
      <c r="H23" s="89" t="s">
        <v>346</v>
      </c>
      <c r="I23" s="103"/>
      <c r="J23" s="103"/>
      <c r="K23" s="103"/>
      <c r="L23" s="103"/>
      <c r="M23" s="103"/>
      <c r="N23" s="90"/>
      <c r="O23" s="89" t="s">
        <v>327</v>
      </c>
      <c r="P23" s="90"/>
      <c r="Q23" s="91">
        <v>50002</v>
      </c>
      <c r="R23" s="92"/>
      <c r="S23" s="46">
        <v>4</v>
      </c>
    </row>
    <row r="24" spans="1:19" ht="13.5">
      <c r="A24" s="46">
        <v>1122</v>
      </c>
      <c r="B24" s="89" t="s">
        <v>345</v>
      </c>
      <c r="C24" s="90"/>
      <c r="D24" s="91">
        <v>2</v>
      </c>
      <c r="E24" s="102"/>
      <c r="F24" s="102"/>
      <c r="G24" s="92"/>
      <c r="H24" s="89" t="s">
        <v>344</v>
      </c>
      <c r="I24" s="103"/>
      <c r="J24" s="103"/>
      <c r="K24" s="103"/>
      <c r="L24" s="103"/>
      <c r="M24" s="103"/>
      <c r="N24" s="90"/>
      <c r="O24" s="89" t="s">
        <v>271</v>
      </c>
      <c r="P24" s="90"/>
      <c r="Q24" s="91">
        <v>50003</v>
      </c>
      <c r="R24" s="92"/>
      <c r="S24" s="46">
        <v>2</v>
      </c>
    </row>
    <row r="25" spans="1:19" ht="13.5">
      <c r="A25" s="46">
        <v>1122</v>
      </c>
      <c r="B25" s="89" t="s">
        <v>345</v>
      </c>
      <c r="C25" s="90"/>
      <c r="D25" s="91">
        <v>1</v>
      </c>
      <c r="E25" s="102"/>
      <c r="F25" s="102"/>
      <c r="G25" s="92"/>
      <c r="H25" s="89" t="s">
        <v>344</v>
      </c>
      <c r="I25" s="103"/>
      <c r="J25" s="103"/>
      <c r="K25" s="103"/>
      <c r="L25" s="103"/>
      <c r="M25" s="103"/>
      <c r="N25" s="90"/>
      <c r="O25" s="89" t="s">
        <v>271</v>
      </c>
      <c r="P25" s="90"/>
      <c r="Q25" s="91">
        <v>50002</v>
      </c>
      <c r="R25" s="92"/>
      <c r="S25" s="46">
        <v>5</v>
      </c>
    </row>
    <row r="26" spans="1:19" ht="13.5">
      <c r="A26" s="46">
        <v>1123</v>
      </c>
      <c r="B26" s="89" t="s">
        <v>343</v>
      </c>
      <c r="C26" s="90"/>
      <c r="D26" s="91">
        <v>1</v>
      </c>
      <c r="E26" s="102"/>
      <c r="F26" s="102"/>
      <c r="G26" s="92"/>
      <c r="H26" s="89" t="s">
        <v>342</v>
      </c>
      <c r="I26" s="103"/>
      <c r="J26" s="103"/>
      <c r="K26" s="103"/>
      <c r="L26" s="103"/>
      <c r="M26" s="103"/>
      <c r="N26" s="90"/>
      <c r="O26" s="89" t="s">
        <v>327</v>
      </c>
      <c r="P26" s="90"/>
      <c r="Q26" s="91">
        <v>50002</v>
      </c>
      <c r="R26" s="92"/>
      <c r="S26" s="46">
        <v>6</v>
      </c>
    </row>
    <row r="27" spans="1:19" ht="13.5">
      <c r="A27" s="46">
        <v>1124</v>
      </c>
      <c r="B27" s="89" t="s">
        <v>341</v>
      </c>
      <c r="C27" s="90"/>
      <c r="D27" s="91">
        <v>1</v>
      </c>
      <c r="E27" s="102"/>
      <c r="F27" s="102"/>
      <c r="G27" s="92"/>
      <c r="H27" s="89" t="s">
        <v>340</v>
      </c>
      <c r="I27" s="103"/>
      <c r="J27" s="103"/>
      <c r="K27" s="103"/>
      <c r="L27" s="103"/>
      <c r="M27" s="103"/>
      <c r="N27" s="90"/>
      <c r="O27" s="89" t="s">
        <v>327</v>
      </c>
      <c r="P27" s="90"/>
      <c r="Q27" s="91">
        <v>50002</v>
      </c>
      <c r="R27" s="92"/>
      <c r="S27" s="46">
        <v>7</v>
      </c>
    </row>
    <row r="28" spans="1:19" ht="13.5">
      <c r="A28" s="46">
        <v>1125</v>
      </c>
      <c r="B28" s="89" t="s">
        <v>339</v>
      </c>
      <c r="C28" s="90"/>
      <c r="D28" s="91">
        <v>1</v>
      </c>
      <c r="E28" s="102"/>
      <c r="F28" s="102"/>
      <c r="G28" s="92"/>
      <c r="H28" s="89" t="s">
        <v>338</v>
      </c>
      <c r="I28" s="103"/>
      <c r="J28" s="103"/>
      <c r="K28" s="103"/>
      <c r="L28" s="103"/>
      <c r="M28" s="103"/>
      <c r="N28" s="90"/>
      <c r="O28" s="89" t="s">
        <v>271</v>
      </c>
      <c r="P28" s="90"/>
      <c r="Q28" s="91">
        <v>50002</v>
      </c>
      <c r="R28" s="92"/>
      <c r="S28" s="46">
        <v>8</v>
      </c>
    </row>
    <row r="29" spans="1:19" ht="13.5">
      <c r="A29" s="46">
        <v>1126</v>
      </c>
      <c r="B29" s="104" t="s">
        <v>337</v>
      </c>
      <c r="C29" s="106"/>
      <c r="D29" s="91">
        <v>1</v>
      </c>
      <c r="E29" s="102"/>
      <c r="F29" s="102"/>
      <c r="G29" s="92"/>
      <c r="H29" s="89" t="s">
        <v>336</v>
      </c>
      <c r="I29" s="103"/>
      <c r="J29" s="103"/>
      <c r="K29" s="103"/>
      <c r="L29" s="103"/>
      <c r="M29" s="103"/>
      <c r="N29" s="90"/>
      <c r="O29" s="89" t="s">
        <v>327</v>
      </c>
      <c r="P29" s="90"/>
      <c r="Q29" s="91">
        <v>50002</v>
      </c>
      <c r="R29" s="92"/>
      <c r="S29" s="46">
        <v>9</v>
      </c>
    </row>
    <row r="30" spans="1:19" ht="13.5">
      <c r="A30" s="46">
        <v>1127</v>
      </c>
      <c r="B30" s="104" t="s">
        <v>335</v>
      </c>
      <c r="C30" s="106"/>
      <c r="D30" s="91">
        <v>1</v>
      </c>
      <c r="E30" s="102"/>
      <c r="F30" s="102"/>
      <c r="G30" s="92"/>
      <c r="H30" s="89" t="s">
        <v>334</v>
      </c>
      <c r="I30" s="103"/>
      <c r="J30" s="103"/>
      <c r="K30" s="103"/>
      <c r="L30" s="103"/>
      <c r="M30" s="103"/>
      <c r="N30" s="90"/>
      <c r="O30" s="89" t="s">
        <v>327</v>
      </c>
      <c r="P30" s="90"/>
      <c r="Q30" s="91">
        <v>50002</v>
      </c>
      <c r="R30" s="92"/>
      <c r="S30" s="46">
        <v>10</v>
      </c>
    </row>
    <row r="31" spans="1:19" ht="13.5">
      <c r="A31" s="46">
        <v>1128</v>
      </c>
      <c r="B31" s="104" t="s">
        <v>333</v>
      </c>
      <c r="C31" s="106"/>
      <c r="D31" s="91">
        <v>1</v>
      </c>
      <c r="E31" s="102"/>
      <c r="F31" s="102"/>
      <c r="G31" s="92"/>
      <c r="H31" s="89" t="s">
        <v>332</v>
      </c>
      <c r="I31" s="103"/>
      <c r="J31" s="103"/>
      <c r="K31" s="103"/>
      <c r="L31" s="103"/>
      <c r="M31" s="103"/>
      <c r="N31" s="90"/>
      <c r="O31" s="89" t="s">
        <v>271</v>
      </c>
      <c r="P31" s="90"/>
      <c r="Q31" s="91">
        <v>50002</v>
      </c>
      <c r="R31" s="92"/>
      <c r="S31" s="46">
        <v>11</v>
      </c>
    </row>
    <row r="32" spans="1:19" ht="13.5">
      <c r="A32" s="46">
        <v>1129</v>
      </c>
      <c r="B32" s="89" t="s">
        <v>331</v>
      </c>
      <c r="C32" s="90"/>
      <c r="D32" s="91">
        <v>1</v>
      </c>
      <c r="E32" s="102"/>
      <c r="F32" s="102"/>
      <c r="G32" s="92"/>
      <c r="H32" s="89" t="s">
        <v>330</v>
      </c>
      <c r="I32" s="103"/>
      <c r="J32" s="103"/>
      <c r="K32" s="103"/>
      <c r="L32" s="103"/>
      <c r="M32" s="103"/>
      <c r="N32" s="90"/>
      <c r="O32" s="89" t="s">
        <v>327</v>
      </c>
      <c r="P32" s="90"/>
      <c r="Q32" s="91">
        <v>50002</v>
      </c>
      <c r="R32" s="92"/>
      <c r="S32" s="46">
        <v>12</v>
      </c>
    </row>
    <row r="33" spans="1:19" ht="13.5">
      <c r="A33" s="46">
        <v>1130</v>
      </c>
      <c r="B33" s="89" t="s">
        <v>329</v>
      </c>
      <c r="C33" s="90"/>
      <c r="D33" s="91">
        <v>1</v>
      </c>
      <c r="E33" s="102"/>
      <c r="F33" s="102"/>
      <c r="G33" s="92"/>
      <c r="H33" s="89" t="s">
        <v>328</v>
      </c>
      <c r="I33" s="103"/>
      <c r="J33" s="103"/>
      <c r="K33" s="103"/>
      <c r="L33" s="103"/>
      <c r="M33" s="103"/>
      <c r="N33" s="90"/>
      <c r="O33" s="89" t="s">
        <v>327</v>
      </c>
      <c r="P33" s="90"/>
      <c r="Q33" s="91">
        <v>50002</v>
      </c>
      <c r="R33" s="92"/>
      <c r="S33" s="46">
        <v>13</v>
      </c>
    </row>
    <row r="34" spans="1:19" ht="13.5">
      <c r="A34" s="46">
        <v>1131</v>
      </c>
      <c r="B34" s="89" t="s">
        <v>326</v>
      </c>
      <c r="C34" s="90"/>
      <c r="D34" s="91">
        <v>1</v>
      </c>
      <c r="E34" s="102"/>
      <c r="F34" s="102"/>
      <c r="G34" s="92"/>
      <c r="H34" s="89" t="s">
        <v>386</v>
      </c>
      <c r="I34" s="103"/>
      <c r="J34" s="103"/>
      <c r="K34" s="103"/>
      <c r="L34" s="103"/>
      <c r="M34" s="103"/>
      <c r="N34" s="90"/>
      <c r="O34" s="89" t="s">
        <v>271</v>
      </c>
      <c r="P34" s="90"/>
      <c r="Q34" s="91">
        <v>50002</v>
      </c>
      <c r="R34" s="92"/>
      <c r="S34" s="46">
        <v>14</v>
      </c>
    </row>
    <row r="35" spans="1:19" ht="13.5">
      <c r="A35" s="46">
        <v>1132</v>
      </c>
      <c r="B35" s="89" t="s">
        <v>325</v>
      </c>
      <c r="C35" s="90"/>
      <c r="D35" s="91">
        <v>1</v>
      </c>
      <c r="E35" s="102"/>
      <c r="F35" s="102"/>
      <c r="G35" s="92"/>
      <c r="H35" s="89" t="s">
        <v>324</v>
      </c>
      <c r="I35" s="103"/>
      <c r="J35" s="103"/>
      <c r="K35" s="103"/>
      <c r="L35" s="103"/>
      <c r="M35" s="103"/>
      <c r="N35" s="90"/>
      <c r="O35" s="89" t="s">
        <v>271</v>
      </c>
      <c r="P35" s="90"/>
      <c r="Q35" s="91">
        <v>50002</v>
      </c>
      <c r="R35" s="92"/>
      <c r="S35" s="46">
        <v>15</v>
      </c>
    </row>
    <row r="36" spans="1:19" ht="13.5">
      <c r="A36" s="46">
        <v>1133</v>
      </c>
      <c r="B36" s="89" t="s">
        <v>323</v>
      </c>
      <c r="C36" s="90"/>
      <c r="D36" s="91">
        <v>1</v>
      </c>
      <c r="E36" s="102"/>
      <c r="F36" s="102"/>
      <c r="G36" s="92"/>
      <c r="H36" s="89" t="s">
        <v>322</v>
      </c>
      <c r="I36" s="103"/>
      <c r="J36" s="103"/>
      <c r="K36" s="103"/>
      <c r="L36" s="103"/>
      <c r="M36" s="103"/>
      <c r="N36" s="90"/>
      <c r="O36" s="89" t="s">
        <v>271</v>
      </c>
      <c r="P36" s="90"/>
      <c r="Q36" s="91">
        <v>50004</v>
      </c>
      <c r="R36" s="92"/>
      <c r="S36" s="46">
        <v>0</v>
      </c>
    </row>
    <row r="37" spans="1:19" ht="13.5">
      <c r="A37" s="46">
        <v>1134</v>
      </c>
      <c r="B37" s="104" t="s">
        <v>321</v>
      </c>
      <c r="C37" s="106"/>
      <c r="D37" s="91">
        <v>1</v>
      </c>
      <c r="E37" s="102"/>
      <c r="F37" s="102"/>
      <c r="G37" s="92"/>
      <c r="H37" s="89" t="s">
        <v>320</v>
      </c>
      <c r="I37" s="103"/>
      <c r="J37" s="103"/>
      <c r="K37" s="103"/>
      <c r="L37" s="103"/>
      <c r="M37" s="103"/>
      <c r="N37" s="90"/>
      <c r="O37" s="89" t="s">
        <v>271</v>
      </c>
      <c r="P37" s="90"/>
      <c r="Q37" s="91">
        <v>50003</v>
      </c>
      <c r="R37" s="92"/>
      <c r="S37" s="46">
        <v>3</v>
      </c>
    </row>
    <row r="38" spans="1:19" ht="13.5">
      <c r="A38" s="46">
        <v>1135</v>
      </c>
      <c r="B38" s="89" t="s">
        <v>319</v>
      </c>
      <c r="C38" s="90"/>
      <c r="D38" s="91">
        <v>1</v>
      </c>
      <c r="E38" s="102"/>
      <c r="F38" s="102"/>
      <c r="G38" s="92"/>
      <c r="H38" s="89" t="s">
        <v>318</v>
      </c>
      <c r="I38" s="103"/>
      <c r="J38" s="103"/>
      <c r="K38" s="103"/>
      <c r="L38" s="103"/>
      <c r="M38" s="103"/>
      <c r="N38" s="90"/>
      <c r="O38" s="89" t="s">
        <v>271</v>
      </c>
      <c r="P38" s="90"/>
      <c r="Q38" s="91">
        <v>50004</v>
      </c>
      <c r="R38" s="92"/>
      <c r="S38" s="46">
        <v>1</v>
      </c>
    </row>
    <row r="39" spans="1:19" ht="13.5">
      <c r="A39" s="46">
        <v>1140</v>
      </c>
      <c r="B39" s="89" t="s">
        <v>310</v>
      </c>
      <c r="C39" s="90"/>
      <c r="D39" s="91">
        <v>1</v>
      </c>
      <c r="E39" s="102"/>
      <c r="F39" s="102"/>
      <c r="G39" s="92"/>
      <c r="H39" s="89" t="s">
        <v>317</v>
      </c>
      <c r="I39" s="103"/>
      <c r="J39" s="103"/>
      <c r="K39" s="103"/>
      <c r="L39" s="103"/>
      <c r="M39" s="103"/>
      <c r="N39" s="90"/>
      <c r="O39" s="89" t="s">
        <v>268</v>
      </c>
      <c r="P39" s="90"/>
      <c r="Q39" s="91">
        <v>50005</v>
      </c>
      <c r="R39" s="92"/>
      <c r="S39" s="46">
        <v>0</v>
      </c>
    </row>
    <row r="40" spans="1:19" ht="13.5">
      <c r="A40" s="46">
        <v>1140</v>
      </c>
      <c r="B40" s="89" t="s">
        <v>310</v>
      </c>
      <c r="C40" s="90"/>
      <c r="D40" s="91">
        <v>2</v>
      </c>
      <c r="E40" s="102"/>
      <c r="F40" s="102"/>
      <c r="G40" s="92"/>
      <c r="H40" s="89" t="s">
        <v>316</v>
      </c>
      <c r="I40" s="103"/>
      <c r="J40" s="103"/>
      <c r="K40" s="103"/>
      <c r="L40" s="103"/>
      <c r="M40" s="103"/>
      <c r="N40" s="90"/>
      <c r="O40" s="89" t="s">
        <v>268</v>
      </c>
      <c r="P40" s="90"/>
      <c r="Q40" s="91">
        <v>50005</v>
      </c>
      <c r="R40" s="92"/>
      <c r="S40" s="46">
        <v>1</v>
      </c>
    </row>
    <row r="41" spans="1:19" ht="13.5">
      <c r="A41" s="46">
        <v>1140</v>
      </c>
      <c r="B41" s="89" t="s">
        <v>310</v>
      </c>
      <c r="C41" s="90"/>
      <c r="D41" s="91">
        <v>3</v>
      </c>
      <c r="E41" s="102"/>
      <c r="F41" s="102"/>
      <c r="G41" s="92"/>
      <c r="H41" s="89" t="s">
        <v>315</v>
      </c>
      <c r="I41" s="103"/>
      <c r="J41" s="103"/>
      <c r="K41" s="103"/>
      <c r="L41" s="103"/>
      <c r="M41" s="103"/>
      <c r="N41" s="90"/>
      <c r="O41" s="89" t="s">
        <v>268</v>
      </c>
      <c r="P41" s="90"/>
      <c r="Q41" s="91">
        <v>50005</v>
      </c>
      <c r="R41" s="92"/>
      <c r="S41" s="46">
        <v>2</v>
      </c>
    </row>
    <row r="42" spans="1:19" ht="13.5">
      <c r="A42" s="46">
        <v>1140</v>
      </c>
      <c r="B42" s="89" t="s">
        <v>310</v>
      </c>
      <c r="C42" s="90"/>
      <c r="D42" s="91">
        <v>4</v>
      </c>
      <c r="E42" s="102"/>
      <c r="F42" s="102"/>
      <c r="G42" s="92"/>
      <c r="H42" s="89" t="s">
        <v>314</v>
      </c>
      <c r="I42" s="103"/>
      <c r="J42" s="103"/>
      <c r="K42" s="103"/>
      <c r="L42" s="103"/>
      <c r="M42" s="103"/>
      <c r="N42" s="90"/>
      <c r="O42" s="89" t="s">
        <v>268</v>
      </c>
      <c r="P42" s="90"/>
      <c r="Q42" s="91">
        <v>50005</v>
      </c>
      <c r="R42" s="92"/>
      <c r="S42" s="46">
        <v>3</v>
      </c>
    </row>
    <row r="43" spans="1:19" ht="13.5">
      <c r="A43" s="46">
        <v>1140</v>
      </c>
      <c r="B43" s="89" t="s">
        <v>310</v>
      </c>
      <c r="C43" s="90"/>
      <c r="D43" s="91">
        <v>5</v>
      </c>
      <c r="E43" s="102"/>
      <c r="F43" s="102"/>
      <c r="G43" s="92"/>
      <c r="H43" s="89" t="s">
        <v>313</v>
      </c>
      <c r="I43" s="103"/>
      <c r="J43" s="103"/>
      <c r="K43" s="103"/>
      <c r="L43" s="103"/>
      <c r="M43" s="103"/>
      <c r="N43" s="90"/>
      <c r="O43" s="89" t="s">
        <v>268</v>
      </c>
      <c r="P43" s="90"/>
      <c r="Q43" s="91">
        <v>50005</v>
      </c>
      <c r="R43" s="92"/>
      <c r="S43" s="46">
        <v>4</v>
      </c>
    </row>
    <row r="44" spans="1:19" ht="13.5">
      <c r="A44" s="46">
        <v>1140</v>
      </c>
      <c r="B44" s="89" t="s">
        <v>310</v>
      </c>
      <c r="C44" s="90"/>
      <c r="D44" s="91">
        <v>6</v>
      </c>
      <c r="E44" s="102"/>
      <c r="F44" s="102"/>
      <c r="G44" s="92"/>
      <c r="H44" s="89" t="s">
        <v>312</v>
      </c>
      <c r="I44" s="103"/>
      <c r="J44" s="103"/>
      <c r="K44" s="103"/>
      <c r="L44" s="103"/>
      <c r="M44" s="103"/>
      <c r="N44" s="90"/>
      <c r="O44" s="89" t="s">
        <v>268</v>
      </c>
      <c r="P44" s="90"/>
      <c r="Q44" s="91">
        <v>50005</v>
      </c>
      <c r="R44" s="92"/>
      <c r="S44" s="46">
        <v>5</v>
      </c>
    </row>
    <row r="45" spans="1:19" ht="13.5">
      <c r="A45" s="46">
        <v>1140</v>
      </c>
      <c r="B45" s="89" t="s">
        <v>310</v>
      </c>
      <c r="C45" s="90"/>
      <c r="D45" s="91">
        <v>7</v>
      </c>
      <c r="E45" s="102"/>
      <c r="F45" s="102"/>
      <c r="G45" s="92"/>
      <c r="H45" s="89" t="s">
        <v>311</v>
      </c>
      <c r="I45" s="103"/>
      <c r="J45" s="103"/>
      <c r="K45" s="103"/>
      <c r="L45" s="103"/>
      <c r="M45" s="103"/>
      <c r="N45" s="90"/>
      <c r="O45" s="89" t="s">
        <v>268</v>
      </c>
      <c r="P45" s="90"/>
      <c r="Q45" s="91">
        <v>50005</v>
      </c>
      <c r="R45" s="92"/>
      <c r="S45" s="46">
        <v>6</v>
      </c>
    </row>
    <row r="46" spans="1:19" ht="13.5">
      <c r="A46" s="46">
        <v>1140</v>
      </c>
      <c r="B46" s="89" t="s">
        <v>310</v>
      </c>
      <c r="C46" s="90"/>
      <c r="D46" s="91">
        <v>8</v>
      </c>
      <c r="E46" s="102"/>
      <c r="F46" s="102"/>
      <c r="G46" s="92"/>
      <c r="H46" s="89" t="s">
        <v>309</v>
      </c>
      <c r="I46" s="103"/>
      <c r="J46" s="103"/>
      <c r="K46" s="103"/>
      <c r="L46" s="103"/>
      <c r="M46" s="103"/>
      <c r="N46" s="90"/>
      <c r="O46" s="89" t="s">
        <v>268</v>
      </c>
      <c r="P46" s="90"/>
      <c r="Q46" s="91">
        <v>50005</v>
      </c>
      <c r="R46" s="92"/>
      <c r="S46" s="46">
        <v>7</v>
      </c>
    </row>
    <row r="47" spans="1:19" ht="13.5">
      <c r="A47" s="46">
        <v>1141</v>
      </c>
      <c r="B47" s="89" t="s">
        <v>306</v>
      </c>
      <c r="C47" s="90"/>
      <c r="D47" s="91">
        <v>1</v>
      </c>
      <c r="E47" s="102"/>
      <c r="F47" s="102"/>
      <c r="G47" s="92"/>
      <c r="H47" s="89" t="s">
        <v>308</v>
      </c>
      <c r="I47" s="103"/>
      <c r="J47" s="103"/>
      <c r="K47" s="103"/>
      <c r="L47" s="103"/>
      <c r="M47" s="103"/>
      <c r="N47" s="90"/>
      <c r="O47" s="89" t="s">
        <v>271</v>
      </c>
      <c r="P47" s="90"/>
      <c r="Q47" s="91">
        <v>50005</v>
      </c>
      <c r="R47" s="92"/>
      <c r="S47" s="46">
        <v>8</v>
      </c>
    </row>
    <row r="48" spans="1:19" ht="13.5">
      <c r="A48" s="46">
        <v>1141</v>
      </c>
      <c r="B48" s="89" t="s">
        <v>306</v>
      </c>
      <c r="C48" s="90"/>
      <c r="D48" s="91">
        <v>2</v>
      </c>
      <c r="E48" s="102"/>
      <c r="F48" s="102"/>
      <c r="G48" s="92"/>
      <c r="H48" s="89" t="s">
        <v>307</v>
      </c>
      <c r="I48" s="103"/>
      <c r="J48" s="103"/>
      <c r="K48" s="103"/>
      <c r="L48" s="103"/>
      <c r="M48" s="103"/>
      <c r="N48" s="90"/>
      <c r="O48" s="89" t="s">
        <v>271</v>
      </c>
      <c r="P48" s="90"/>
      <c r="Q48" s="91">
        <v>50005</v>
      </c>
      <c r="R48" s="92"/>
      <c r="S48" s="46">
        <v>13</v>
      </c>
    </row>
    <row r="49" spans="1:19" ht="13.5">
      <c r="A49" s="46">
        <v>1141</v>
      </c>
      <c r="B49" s="89" t="s">
        <v>306</v>
      </c>
      <c r="C49" s="90"/>
      <c r="D49" s="91">
        <v>3</v>
      </c>
      <c r="E49" s="102"/>
      <c r="F49" s="102"/>
      <c r="G49" s="92"/>
      <c r="H49" s="89" t="s">
        <v>305</v>
      </c>
      <c r="I49" s="103"/>
      <c r="J49" s="103"/>
      <c r="K49" s="103"/>
      <c r="L49" s="103"/>
      <c r="M49" s="103"/>
      <c r="N49" s="90"/>
      <c r="O49" s="89" t="s">
        <v>271</v>
      </c>
      <c r="P49" s="90"/>
      <c r="Q49" s="91">
        <v>50005</v>
      </c>
      <c r="R49" s="92"/>
      <c r="S49" s="46">
        <v>14</v>
      </c>
    </row>
    <row r="50" spans="1:19" ht="13.5">
      <c r="A50" s="46">
        <v>1142</v>
      </c>
      <c r="B50" s="89" t="s">
        <v>300</v>
      </c>
      <c r="C50" s="90"/>
      <c r="D50" s="91">
        <v>1</v>
      </c>
      <c r="E50" s="102"/>
      <c r="F50" s="102"/>
      <c r="G50" s="92"/>
      <c r="H50" s="89" t="s">
        <v>304</v>
      </c>
      <c r="I50" s="103"/>
      <c r="J50" s="103"/>
      <c r="K50" s="103"/>
      <c r="L50" s="103"/>
      <c r="M50" s="103"/>
      <c r="N50" s="90"/>
      <c r="O50" s="89" t="s">
        <v>271</v>
      </c>
      <c r="P50" s="90"/>
      <c r="Q50" s="91">
        <v>50005</v>
      </c>
      <c r="R50" s="92"/>
      <c r="S50" s="46">
        <v>9</v>
      </c>
    </row>
    <row r="51" spans="1:19" ht="13.5">
      <c r="A51" s="46">
        <v>1142</v>
      </c>
      <c r="B51" s="89" t="s">
        <v>300</v>
      </c>
      <c r="C51" s="90"/>
      <c r="D51" s="91">
        <v>2</v>
      </c>
      <c r="E51" s="102"/>
      <c r="F51" s="102"/>
      <c r="G51" s="92"/>
      <c r="H51" s="89" t="s">
        <v>303</v>
      </c>
      <c r="I51" s="103"/>
      <c r="J51" s="103"/>
      <c r="K51" s="103"/>
      <c r="L51" s="103"/>
      <c r="M51" s="103"/>
      <c r="N51" s="90"/>
      <c r="O51" s="89" t="s">
        <v>271</v>
      </c>
      <c r="P51" s="90"/>
      <c r="Q51" s="91">
        <v>50005</v>
      </c>
      <c r="R51" s="92"/>
      <c r="S51" s="46">
        <v>10</v>
      </c>
    </row>
    <row r="52" spans="1:19" ht="13.5">
      <c r="A52" s="46">
        <v>1142</v>
      </c>
      <c r="B52" s="89" t="s">
        <v>300</v>
      </c>
      <c r="C52" s="90"/>
      <c r="D52" s="91">
        <v>3</v>
      </c>
      <c r="E52" s="102"/>
      <c r="F52" s="102"/>
      <c r="G52" s="92"/>
      <c r="H52" s="89" t="s">
        <v>302</v>
      </c>
      <c r="I52" s="103"/>
      <c r="J52" s="103"/>
      <c r="K52" s="103"/>
      <c r="L52" s="103"/>
      <c r="M52" s="103"/>
      <c r="N52" s="90"/>
      <c r="O52" s="89" t="s">
        <v>271</v>
      </c>
      <c r="P52" s="90"/>
      <c r="Q52" s="91">
        <v>50005</v>
      </c>
      <c r="R52" s="92"/>
      <c r="S52" s="46">
        <v>11</v>
      </c>
    </row>
    <row r="53" spans="1:19" ht="13.5">
      <c r="A53" s="46">
        <v>1142</v>
      </c>
      <c r="B53" s="89" t="s">
        <v>300</v>
      </c>
      <c r="C53" s="90"/>
      <c r="D53" s="91">
        <v>4</v>
      </c>
      <c r="E53" s="102"/>
      <c r="F53" s="102"/>
      <c r="G53" s="92"/>
      <c r="H53" s="89" t="s">
        <v>301</v>
      </c>
      <c r="I53" s="103"/>
      <c r="J53" s="103"/>
      <c r="K53" s="103"/>
      <c r="L53" s="103"/>
      <c r="M53" s="103"/>
      <c r="N53" s="90"/>
      <c r="O53" s="89" t="s">
        <v>271</v>
      </c>
      <c r="P53" s="90"/>
      <c r="Q53" s="91">
        <v>50005</v>
      </c>
      <c r="R53" s="92"/>
      <c r="S53" s="46">
        <v>12</v>
      </c>
    </row>
    <row r="54" spans="1:19" ht="13.5">
      <c r="A54" s="46">
        <v>1142</v>
      </c>
      <c r="B54" s="89" t="s">
        <v>300</v>
      </c>
      <c r="C54" s="90"/>
      <c r="D54" s="91">
        <v>5</v>
      </c>
      <c r="E54" s="102"/>
      <c r="F54" s="102"/>
      <c r="G54" s="92"/>
      <c r="H54" s="89" t="s">
        <v>299</v>
      </c>
      <c r="I54" s="103"/>
      <c r="J54" s="103"/>
      <c r="K54" s="103"/>
      <c r="L54" s="103"/>
      <c r="M54" s="103"/>
      <c r="N54" s="90"/>
      <c r="O54" s="89" t="s">
        <v>271</v>
      </c>
      <c r="P54" s="90"/>
      <c r="Q54" s="91">
        <v>50005</v>
      </c>
      <c r="R54" s="92"/>
      <c r="S54" s="46">
        <v>13</v>
      </c>
    </row>
    <row r="55" spans="1:19" ht="13.5">
      <c r="A55" s="46">
        <v>1143</v>
      </c>
      <c r="B55" s="104" t="s">
        <v>298</v>
      </c>
      <c r="C55" s="106"/>
      <c r="D55" s="91">
        <v>1</v>
      </c>
      <c r="E55" s="102"/>
      <c r="F55" s="102"/>
      <c r="G55" s="92"/>
      <c r="H55" s="89" t="s">
        <v>297</v>
      </c>
      <c r="I55" s="103"/>
      <c r="J55" s="103"/>
      <c r="K55" s="103"/>
      <c r="L55" s="103"/>
      <c r="M55" s="103"/>
      <c r="N55" s="90"/>
      <c r="O55" s="89" t="s">
        <v>271</v>
      </c>
      <c r="P55" s="90"/>
      <c r="Q55" s="91">
        <v>50005</v>
      </c>
      <c r="R55" s="92"/>
      <c r="S55" s="46">
        <v>14</v>
      </c>
    </row>
    <row r="56" spans="1:19" ht="13.5">
      <c r="A56" s="46">
        <v>1144</v>
      </c>
      <c r="B56" s="89" t="s">
        <v>295</v>
      </c>
      <c r="C56" s="90"/>
      <c r="D56" s="91">
        <v>1</v>
      </c>
      <c r="E56" s="102"/>
      <c r="F56" s="102"/>
      <c r="G56" s="92"/>
      <c r="H56" s="89" t="s">
        <v>296</v>
      </c>
      <c r="I56" s="103"/>
      <c r="J56" s="103"/>
      <c r="K56" s="103"/>
      <c r="L56" s="103"/>
      <c r="M56" s="103"/>
      <c r="N56" s="90"/>
      <c r="O56" s="89" t="s">
        <v>271</v>
      </c>
      <c r="P56" s="90"/>
      <c r="Q56" s="91">
        <v>50006</v>
      </c>
      <c r="R56" s="92"/>
      <c r="S56" s="46">
        <v>0</v>
      </c>
    </row>
    <row r="57" spans="1:19" ht="13.5">
      <c r="A57" s="46">
        <v>1144</v>
      </c>
      <c r="B57" s="89" t="s">
        <v>295</v>
      </c>
      <c r="C57" s="90"/>
      <c r="D57" s="91">
        <v>2</v>
      </c>
      <c r="E57" s="102"/>
      <c r="F57" s="102"/>
      <c r="G57" s="92"/>
      <c r="H57" s="89" t="s">
        <v>294</v>
      </c>
      <c r="I57" s="103"/>
      <c r="J57" s="103"/>
      <c r="K57" s="103"/>
      <c r="L57" s="103"/>
      <c r="M57" s="103"/>
      <c r="N57" s="90"/>
      <c r="O57" s="89" t="s">
        <v>271</v>
      </c>
      <c r="P57" s="90"/>
      <c r="Q57" s="91">
        <v>50006</v>
      </c>
      <c r="R57" s="92"/>
      <c r="S57" s="46">
        <v>1</v>
      </c>
    </row>
    <row r="58" spans="1:19" ht="13.5">
      <c r="A58" s="46">
        <v>1145</v>
      </c>
      <c r="B58" s="89" t="s">
        <v>292</v>
      </c>
      <c r="C58" s="90"/>
      <c r="D58" s="91">
        <v>1</v>
      </c>
      <c r="E58" s="102"/>
      <c r="F58" s="102"/>
      <c r="G58" s="92"/>
      <c r="H58" s="89" t="s">
        <v>293</v>
      </c>
      <c r="I58" s="103"/>
      <c r="J58" s="103"/>
      <c r="K58" s="103"/>
      <c r="L58" s="103"/>
      <c r="M58" s="103"/>
      <c r="N58" s="90"/>
      <c r="O58" s="89" t="s">
        <v>271</v>
      </c>
      <c r="P58" s="90"/>
      <c r="Q58" s="91">
        <v>50005</v>
      </c>
      <c r="R58" s="92"/>
      <c r="S58" s="46">
        <v>15</v>
      </c>
    </row>
    <row r="59" spans="1:19" ht="13.5">
      <c r="A59" s="46">
        <v>1145</v>
      </c>
      <c r="B59" s="89" t="s">
        <v>292</v>
      </c>
      <c r="C59" s="90"/>
      <c r="D59" s="91">
        <v>2</v>
      </c>
      <c r="E59" s="102"/>
      <c r="F59" s="102"/>
      <c r="G59" s="92"/>
      <c r="H59" s="89" t="s">
        <v>291</v>
      </c>
      <c r="I59" s="103"/>
      <c r="J59" s="103"/>
      <c r="K59" s="103"/>
      <c r="L59" s="103"/>
      <c r="M59" s="103"/>
      <c r="N59" s="90"/>
      <c r="O59" s="89" t="s">
        <v>271</v>
      </c>
      <c r="P59" s="90"/>
      <c r="Q59" s="91">
        <v>50006</v>
      </c>
      <c r="R59" s="92"/>
      <c r="S59" s="46">
        <v>6</v>
      </c>
    </row>
    <row r="60" spans="1:19" ht="13.5">
      <c r="A60" s="46">
        <v>1146</v>
      </c>
      <c r="B60" s="89" t="s">
        <v>289</v>
      </c>
      <c r="C60" s="90"/>
      <c r="D60" s="91">
        <v>1</v>
      </c>
      <c r="E60" s="102"/>
      <c r="F60" s="102"/>
      <c r="G60" s="92"/>
      <c r="H60" s="89" t="s">
        <v>290</v>
      </c>
      <c r="I60" s="103"/>
      <c r="J60" s="103"/>
      <c r="K60" s="103"/>
      <c r="L60" s="103"/>
      <c r="M60" s="103"/>
      <c r="N60" s="90"/>
      <c r="O60" s="89" t="s">
        <v>271</v>
      </c>
      <c r="P60" s="90"/>
      <c r="Q60" s="91">
        <v>50006</v>
      </c>
      <c r="R60" s="92"/>
      <c r="S60" s="46">
        <v>2</v>
      </c>
    </row>
    <row r="61" spans="1:19" ht="13.5">
      <c r="A61" s="46">
        <v>1146</v>
      </c>
      <c r="B61" s="89" t="s">
        <v>289</v>
      </c>
      <c r="C61" s="90"/>
      <c r="D61" s="91">
        <v>2</v>
      </c>
      <c r="E61" s="102"/>
      <c r="F61" s="102"/>
      <c r="G61" s="92"/>
      <c r="H61" s="89" t="s">
        <v>288</v>
      </c>
      <c r="I61" s="103"/>
      <c r="J61" s="103"/>
      <c r="K61" s="103"/>
      <c r="L61" s="103"/>
      <c r="M61" s="103"/>
      <c r="N61" s="90"/>
      <c r="O61" s="89" t="s">
        <v>271</v>
      </c>
      <c r="P61" s="90"/>
      <c r="Q61" s="91">
        <v>50006</v>
      </c>
      <c r="R61" s="92"/>
      <c r="S61" s="46">
        <v>3</v>
      </c>
    </row>
    <row r="62" spans="1:19" ht="13.5">
      <c r="A62" s="46">
        <v>1147</v>
      </c>
      <c r="B62" s="89" t="s">
        <v>287</v>
      </c>
      <c r="C62" s="90"/>
      <c r="D62" s="91">
        <v>1</v>
      </c>
      <c r="E62" s="102"/>
      <c r="F62" s="102"/>
      <c r="G62" s="92"/>
      <c r="H62" s="89" t="s">
        <v>286</v>
      </c>
      <c r="I62" s="103"/>
      <c r="J62" s="103"/>
      <c r="K62" s="103"/>
      <c r="L62" s="103"/>
      <c r="M62" s="103"/>
      <c r="N62" s="90"/>
      <c r="O62" s="89" t="s">
        <v>271</v>
      </c>
      <c r="P62" s="90"/>
      <c r="Q62" s="91">
        <v>50006</v>
      </c>
      <c r="R62" s="92"/>
      <c r="S62" s="46">
        <v>4</v>
      </c>
    </row>
    <row r="63" spans="1:19" ht="13.5">
      <c r="A63" s="46">
        <v>1148</v>
      </c>
      <c r="B63" s="89" t="s">
        <v>285</v>
      </c>
      <c r="C63" s="90"/>
      <c r="D63" s="91">
        <v>1</v>
      </c>
      <c r="E63" s="102"/>
      <c r="F63" s="102"/>
      <c r="G63" s="92"/>
      <c r="H63" s="89" t="s">
        <v>284</v>
      </c>
      <c r="I63" s="103"/>
      <c r="J63" s="103"/>
      <c r="K63" s="103"/>
      <c r="L63" s="103"/>
      <c r="M63" s="103"/>
      <c r="N63" s="90"/>
      <c r="O63" s="89" t="s">
        <v>271</v>
      </c>
      <c r="P63" s="90"/>
      <c r="Q63" s="91">
        <v>50006</v>
      </c>
      <c r="R63" s="92"/>
      <c r="S63" s="46">
        <v>5</v>
      </c>
    </row>
    <row r="64" spans="1:19" ht="13.5">
      <c r="A64" s="46">
        <v>1149</v>
      </c>
      <c r="B64" s="89" t="s">
        <v>283</v>
      </c>
      <c r="C64" s="90"/>
      <c r="D64" s="91">
        <v>1</v>
      </c>
      <c r="E64" s="102"/>
      <c r="F64" s="102"/>
      <c r="G64" s="92"/>
      <c r="H64" s="89" t="s">
        <v>282</v>
      </c>
      <c r="I64" s="103"/>
      <c r="J64" s="103"/>
      <c r="K64" s="103"/>
      <c r="L64" s="103"/>
      <c r="M64" s="103"/>
      <c r="N64" s="90"/>
      <c r="O64" s="89" t="s">
        <v>268</v>
      </c>
      <c r="P64" s="90"/>
      <c r="Q64" s="91">
        <v>50006</v>
      </c>
      <c r="R64" s="92"/>
      <c r="S64" s="46">
        <v>9</v>
      </c>
    </row>
    <row r="65" spans="1:21" ht="13.5">
      <c r="A65" s="46">
        <v>1150</v>
      </c>
      <c r="B65" s="89" t="s">
        <v>281</v>
      </c>
      <c r="C65" s="90"/>
      <c r="D65" s="91">
        <v>1</v>
      </c>
      <c r="E65" s="102"/>
      <c r="F65" s="102"/>
      <c r="G65" s="92"/>
      <c r="H65" s="89" t="s">
        <v>280</v>
      </c>
      <c r="I65" s="103"/>
      <c r="J65" s="103"/>
      <c r="K65" s="103"/>
      <c r="L65" s="103"/>
      <c r="M65" s="103"/>
      <c r="N65" s="90"/>
      <c r="O65" s="89" t="s">
        <v>271</v>
      </c>
      <c r="P65" s="90"/>
      <c r="Q65" s="91">
        <v>50006</v>
      </c>
      <c r="R65" s="92"/>
      <c r="S65" s="46">
        <v>7</v>
      </c>
    </row>
    <row r="66" spans="1:21" ht="13.5">
      <c r="A66" s="46">
        <v>1152</v>
      </c>
      <c r="B66" s="104" t="s">
        <v>279</v>
      </c>
      <c r="C66" s="106"/>
      <c r="D66" s="91">
        <v>1</v>
      </c>
      <c r="E66" s="102"/>
      <c r="F66" s="102"/>
      <c r="G66" s="92"/>
      <c r="H66" s="89" t="s">
        <v>278</v>
      </c>
      <c r="I66" s="103"/>
      <c r="J66" s="103"/>
      <c r="K66" s="103"/>
      <c r="L66" s="103"/>
      <c r="M66" s="103"/>
      <c r="N66" s="90"/>
      <c r="O66" s="89" t="s">
        <v>271</v>
      </c>
      <c r="P66" s="90"/>
      <c r="Q66" s="91">
        <v>50006</v>
      </c>
      <c r="R66" s="92"/>
      <c r="S66" s="46">
        <v>8</v>
      </c>
    </row>
    <row r="67" spans="1:21" ht="13.5">
      <c r="A67" s="46">
        <v>1154</v>
      </c>
      <c r="B67" s="89" t="s">
        <v>277</v>
      </c>
      <c r="C67" s="90"/>
      <c r="D67" s="91">
        <v>5</v>
      </c>
      <c r="E67" s="102"/>
      <c r="F67" s="102"/>
      <c r="G67" s="92"/>
      <c r="H67" s="89" t="s">
        <v>276</v>
      </c>
      <c r="I67" s="103"/>
      <c r="J67" s="103"/>
      <c r="K67" s="103"/>
      <c r="L67" s="103"/>
      <c r="M67" s="103"/>
      <c r="N67" s="90"/>
      <c r="O67" s="89" t="s">
        <v>271</v>
      </c>
      <c r="P67" s="90"/>
      <c r="Q67" s="91">
        <v>50007</v>
      </c>
      <c r="R67" s="92"/>
      <c r="S67" s="46">
        <v>9</v>
      </c>
    </row>
    <row r="68" spans="1:21" ht="13.5">
      <c r="A68" s="46">
        <v>1161</v>
      </c>
      <c r="B68" s="89" t="s">
        <v>275</v>
      </c>
      <c r="C68" s="90"/>
      <c r="D68" s="91">
        <v>1</v>
      </c>
      <c r="E68" s="102"/>
      <c r="F68" s="102"/>
      <c r="G68" s="92"/>
      <c r="H68" s="89" t="s">
        <v>274</v>
      </c>
      <c r="I68" s="103"/>
      <c r="J68" s="103"/>
      <c r="K68" s="103"/>
      <c r="L68" s="103"/>
      <c r="M68" s="103"/>
      <c r="N68" s="90"/>
      <c r="O68" s="89" t="s">
        <v>271</v>
      </c>
      <c r="P68" s="90"/>
      <c r="Q68" s="91">
        <v>50006</v>
      </c>
      <c r="R68" s="92"/>
      <c r="S68" s="46">
        <v>11</v>
      </c>
    </row>
    <row r="69" spans="1:21" ht="13.5">
      <c r="A69" s="46">
        <v>1162</v>
      </c>
      <c r="B69" s="89" t="s">
        <v>273</v>
      </c>
      <c r="C69" s="90"/>
      <c r="D69" s="91">
        <v>1</v>
      </c>
      <c r="E69" s="102"/>
      <c r="F69" s="102"/>
      <c r="G69" s="92"/>
      <c r="H69" s="89" t="s">
        <v>272</v>
      </c>
      <c r="I69" s="103"/>
      <c r="J69" s="103"/>
      <c r="K69" s="103"/>
      <c r="L69" s="103"/>
      <c r="M69" s="103"/>
      <c r="N69" s="90"/>
      <c r="O69" s="89" t="s">
        <v>271</v>
      </c>
      <c r="P69" s="90"/>
      <c r="Q69" s="91">
        <v>50006</v>
      </c>
      <c r="R69" s="92"/>
      <c r="S69" s="46">
        <v>12</v>
      </c>
    </row>
    <row r="70" spans="1:21" ht="13.5">
      <c r="A70" s="46">
        <v>1166</v>
      </c>
      <c r="B70" s="104" t="s">
        <v>270</v>
      </c>
      <c r="C70" s="106"/>
      <c r="D70" s="91">
        <v>1</v>
      </c>
      <c r="E70" s="102"/>
      <c r="F70" s="102"/>
      <c r="G70" s="92"/>
      <c r="H70" s="89" t="s">
        <v>269</v>
      </c>
      <c r="I70" s="103"/>
      <c r="J70" s="103"/>
      <c r="K70" s="103"/>
      <c r="L70" s="103"/>
      <c r="M70" s="103"/>
      <c r="N70" s="90"/>
      <c r="O70" s="89" t="s">
        <v>268</v>
      </c>
      <c r="P70" s="90"/>
      <c r="Q70" s="91">
        <v>50007</v>
      </c>
      <c r="R70" s="92"/>
      <c r="S70" s="46">
        <v>14</v>
      </c>
    </row>
    <row r="79" spans="1:21">
      <c r="T79" s="88"/>
      <c r="U79" s="88"/>
    </row>
    <row r="80" spans="1:21">
      <c r="T80" s="88"/>
      <c r="U80" s="88"/>
    </row>
    <row r="81" spans="20:21">
      <c r="T81" s="88"/>
      <c r="U81" s="88"/>
    </row>
    <row r="82" spans="20:21">
      <c r="T82" s="88"/>
      <c r="U82" s="88"/>
    </row>
    <row r="83" spans="20:21">
      <c r="T83" s="88"/>
      <c r="U83" s="88"/>
    </row>
    <row r="84" spans="20:21">
      <c r="T84" s="88"/>
      <c r="U84" s="88"/>
    </row>
    <row r="85" spans="20:21">
      <c r="T85" s="88"/>
      <c r="U85" s="88"/>
    </row>
    <row r="86" spans="20:21">
      <c r="T86" s="88"/>
      <c r="U86" s="88"/>
    </row>
    <row r="87" spans="20:21" ht="12.75" customHeight="1">
      <c r="T87" s="45"/>
      <c r="U87" s="45"/>
    </row>
    <row r="88" spans="20:21" ht="12.75" customHeight="1">
      <c r="T88" s="44"/>
      <c r="U88" s="44"/>
    </row>
    <row r="89" spans="20:21" ht="12.75" customHeight="1">
      <c r="T89" s="43"/>
      <c r="U89" s="43"/>
    </row>
    <row r="90" spans="20:21">
      <c r="T90" s="107"/>
      <c r="U90" s="107"/>
    </row>
    <row r="91" spans="20:21">
      <c r="T91" s="88"/>
      <c r="U91" s="88"/>
    </row>
    <row r="92" spans="20:21">
      <c r="T92" s="88"/>
      <c r="U92" s="88"/>
    </row>
    <row r="93" spans="20:21">
      <c r="T93" s="88"/>
      <c r="U93" s="88"/>
    </row>
    <row r="94" spans="20:21">
      <c r="T94" s="88"/>
      <c r="U94" s="88"/>
    </row>
    <row r="144" ht="96.95" customHeight="1"/>
    <row r="145" ht="71.849999999999994" customHeight="1"/>
    <row r="146" ht="33.950000000000003" customHeight="1"/>
    <row r="147" ht="72" customHeight="1"/>
    <row r="148" ht="108.95" customHeight="1"/>
    <row r="149" ht="96.95" customHeight="1"/>
    <row r="150" ht="84.95" customHeight="1"/>
    <row r="151" ht="71.099999999999994" customHeight="1"/>
    <row r="152" ht="96.95" customHeight="1"/>
    <row r="153" ht="59.45" customHeight="1"/>
  </sheetData>
  <mergeCells count="352">
    <mergeCell ref="T92:U92"/>
    <mergeCell ref="T93:U93"/>
    <mergeCell ref="T94:U94"/>
    <mergeCell ref="T90:U90"/>
    <mergeCell ref="T91:U91"/>
    <mergeCell ref="B69:C69"/>
    <mergeCell ref="D69:G69"/>
    <mergeCell ref="H69:N69"/>
    <mergeCell ref="O69:P69"/>
    <mergeCell ref="Q69:R69"/>
    <mergeCell ref="T86:U86"/>
    <mergeCell ref="B67:C67"/>
    <mergeCell ref="D67:G67"/>
    <mergeCell ref="H67:N67"/>
    <mergeCell ref="O67:P67"/>
    <mergeCell ref="Q67:R67"/>
    <mergeCell ref="T83:U83"/>
    <mergeCell ref="B68:C68"/>
    <mergeCell ref="D68:G68"/>
    <mergeCell ref="H68:N68"/>
    <mergeCell ref="T85:U85"/>
    <mergeCell ref="B70:C70"/>
    <mergeCell ref="D70:G70"/>
    <mergeCell ref="H70:N70"/>
    <mergeCell ref="O70:P70"/>
    <mergeCell ref="Q70:R70"/>
    <mergeCell ref="T82:U82"/>
    <mergeCell ref="T79:U79"/>
    <mergeCell ref="O68:P68"/>
    <mergeCell ref="Q68:R68"/>
    <mergeCell ref="T84:U84"/>
    <mergeCell ref="B65:C65"/>
    <mergeCell ref="D65:G65"/>
    <mergeCell ref="H65:N65"/>
    <mergeCell ref="O65:P65"/>
    <mergeCell ref="Q65:R65"/>
    <mergeCell ref="T81:U81"/>
    <mergeCell ref="B66:C66"/>
    <mergeCell ref="B64:C64"/>
    <mergeCell ref="D64:G64"/>
    <mergeCell ref="H64:N64"/>
    <mergeCell ref="O64:P64"/>
    <mergeCell ref="Q64:R64"/>
    <mergeCell ref="T80:U80"/>
    <mergeCell ref="D66:G66"/>
    <mergeCell ref="H66:N66"/>
    <mergeCell ref="O66:P66"/>
    <mergeCell ref="Q66:R66"/>
    <mergeCell ref="B62:C62"/>
    <mergeCell ref="D62:G62"/>
    <mergeCell ref="H62:N62"/>
    <mergeCell ref="O62:P62"/>
    <mergeCell ref="Q62:R62"/>
    <mergeCell ref="B63:C63"/>
    <mergeCell ref="D63:G63"/>
    <mergeCell ref="H63:N63"/>
    <mergeCell ref="O63:P63"/>
    <mergeCell ref="Q63:R63"/>
    <mergeCell ref="B60:C60"/>
    <mergeCell ref="D60:G60"/>
    <mergeCell ref="H60:N60"/>
    <mergeCell ref="O60:P60"/>
    <mergeCell ref="Q60:R60"/>
    <mergeCell ref="B61:C61"/>
    <mergeCell ref="D61:G61"/>
    <mergeCell ref="H61:N61"/>
    <mergeCell ref="O61:P61"/>
    <mergeCell ref="Q61:R61"/>
    <mergeCell ref="B58:C58"/>
    <mergeCell ref="D58:G58"/>
    <mergeCell ref="H58:N58"/>
    <mergeCell ref="O58:P58"/>
    <mergeCell ref="Q58:R58"/>
    <mergeCell ref="B59:C59"/>
    <mergeCell ref="D59:G59"/>
    <mergeCell ref="H59:N59"/>
    <mergeCell ref="O59:P59"/>
    <mergeCell ref="Q59:R59"/>
    <mergeCell ref="B56:C56"/>
    <mergeCell ref="D56:G56"/>
    <mergeCell ref="H56:N56"/>
    <mergeCell ref="O56:P56"/>
    <mergeCell ref="Q56:R56"/>
    <mergeCell ref="B57:C57"/>
    <mergeCell ref="D57:G57"/>
    <mergeCell ref="H57:N57"/>
    <mergeCell ref="O57:P57"/>
    <mergeCell ref="Q57:R57"/>
    <mergeCell ref="B55:C55"/>
    <mergeCell ref="D55:G55"/>
    <mergeCell ref="H55:N55"/>
    <mergeCell ref="O55:P55"/>
    <mergeCell ref="Q55:R55"/>
    <mergeCell ref="B53:C53"/>
    <mergeCell ref="D53:G53"/>
    <mergeCell ref="H53:N53"/>
    <mergeCell ref="O53:P53"/>
    <mergeCell ref="Q53:R53"/>
    <mergeCell ref="B54:C54"/>
    <mergeCell ref="D54:G54"/>
    <mergeCell ref="H54:N54"/>
    <mergeCell ref="O54:P54"/>
    <mergeCell ref="Q54:R54"/>
    <mergeCell ref="B51:C51"/>
    <mergeCell ref="D51:G51"/>
    <mergeCell ref="H51:N51"/>
    <mergeCell ref="O51:P51"/>
    <mergeCell ref="Q51:R51"/>
    <mergeCell ref="B52:C52"/>
    <mergeCell ref="D52:G52"/>
    <mergeCell ref="H52:N52"/>
    <mergeCell ref="O52:P52"/>
    <mergeCell ref="Q52:R52"/>
    <mergeCell ref="B50:C50"/>
    <mergeCell ref="D50:G50"/>
    <mergeCell ref="H50:N50"/>
    <mergeCell ref="O50:P50"/>
    <mergeCell ref="Q50:R50"/>
    <mergeCell ref="B48:C48"/>
    <mergeCell ref="D48:G48"/>
    <mergeCell ref="H48:N48"/>
    <mergeCell ref="O48:P48"/>
    <mergeCell ref="Q48:R48"/>
    <mergeCell ref="B49:C49"/>
    <mergeCell ref="D49:G49"/>
    <mergeCell ref="H49:N49"/>
    <mergeCell ref="O49:P49"/>
    <mergeCell ref="Q49:R49"/>
    <mergeCell ref="B46:C46"/>
    <mergeCell ref="D46:G46"/>
    <mergeCell ref="H46:N46"/>
    <mergeCell ref="O46:P46"/>
    <mergeCell ref="Q46:R46"/>
    <mergeCell ref="B47:C47"/>
    <mergeCell ref="D47:G47"/>
    <mergeCell ref="H47:N47"/>
    <mergeCell ref="O47:P47"/>
    <mergeCell ref="Q47:R47"/>
    <mergeCell ref="B44:C44"/>
    <mergeCell ref="D44:G44"/>
    <mergeCell ref="H44:N44"/>
    <mergeCell ref="O44:P44"/>
    <mergeCell ref="Q44:R44"/>
    <mergeCell ref="B45:C45"/>
    <mergeCell ref="D45:G45"/>
    <mergeCell ref="H45:N45"/>
    <mergeCell ref="O45:P45"/>
    <mergeCell ref="Q45:R45"/>
    <mergeCell ref="B43:C43"/>
    <mergeCell ref="D43:G43"/>
    <mergeCell ref="H43:N43"/>
    <mergeCell ref="O43:P43"/>
    <mergeCell ref="Q43:R43"/>
    <mergeCell ref="B41:C41"/>
    <mergeCell ref="D41:G41"/>
    <mergeCell ref="H41:N41"/>
    <mergeCell ref="O41:P41"/>
    <mergeCell ref="Q41:R41"/>
    <mergeCell ref="B42:C42"/>
    <mergeCell ref="D42:G42"/>
    <mergeCell ref="H42:N42"/>
    <mergeCell ref="O42:P42"/>
    <mergeCell ref="Q42:R42"/>
    <mergeCell ref="B39:C39"/>
    <mergeCell ref="D39:G39"/>
    <mergeCell ref="H39:N39"/>
    <mergeCell ref="O39:P39"/>
    <mergeCell ref="Q39:R39"/>
    <mergeCell ref="B40:C40"/>
    <mergeCell ref="D40:G40"/>
    <mergeCell ref="H40:N40"/>
    <mergeCell ref="O40:P40"/>
    <mergeCell ref="Q40:R40"/>
    <mergeCell ref="B37:C37"/>
    <mergeCell ref="D37:G37"/>
    <mergeCell ref="H37:N37"/>
    <mergeCell ref="O37:P37"/>
    <mergeCell ref="Q37:R37"/>
    <mergeCell ref="B38:C38"/>
    <mergeCell ref="D38:G38"/>
    <mergeCell ref="H38:N38"/>
    <mergeCell ref="O38:P38"/>
    <mergeCell ref="Q38:R38"/>
    <mergeCell ref="B35:C35"/>
    <mergeCell ref="D35:G35"/>
    <mergeCell ref="H35:N35"/>
    <mergeCell ref="O35:P35"/>
    <mergeCell ref="Q35:R35"/>
    <mergeCell ref="B36:C36"/>
    <mergeCell ref="D36:G36"/>
    <mergeCell ref="H36:N36"/>
    <mergeCell ref="O36:P36"/>
    <mergeCell ref="Q36:R36"/>
    <mergeCell ref="B34:C34"/>
    <mergeCell ref="D34:G34"/>
    <mergeCell ref="H34:N34"/>
    <mergeCell ref="O34:P34"/>
    <mergeCell ref="Q34:R34"/>
    <mergeCell ref="B32:C32"/>
    <mergeCell ref="D32:G32"/>
    <mergeCell ref="H32:N32"/>
    <mergeCell ref="O32:P32"/>
    <mergeCell ref="Q32:R32"/>
    <mergeCell ref="B33:C33"/>
    <mergeCell ref="D33:G33"/>
    <mergeCell ref="H33:N33"/>
    <mergeCell ref="O33:P33"/>
    <mergeCell ref="Q33:R33"/>
    <mergeCell ref="B30:C30"/>
    <mergeCell ref="D30:G30"/>
    <mergeCell ref="H30:N30"/>
    <mergeCell ref="O30:P30"/>
    <mergeCell ref="Q30:R30"/>
    <mergeCell ref="B31:C31"/>
    <mergeCell ref="D31:G31"/>
    <mergeCell ref="H31:N31"/>
    <mergeCell ref="O31:P31"/>
    <mergeCell ref="Q31:R31"/>
    <mergeCell ref="B28:C28"/>
    <mergeCell ref="D28:G28"/>
    <mergeCell ref="H28:N28"/>
    <mergeCell ref="O28:P28"/>
    <mergeCell ref="Q28:R28"/>
    <mergeCell ref="B29:C29"/>
    <mergeCell ref="D29:G29"/>
    <mergeCell ref="H29:N29"/>
    <mergeCell ref="O29:P29"/>
    <mergeCell ref="Q29:R29"/>
    <mergeCell ref="B26:C26"/>
    <mergeCell ref="D26:G26"/>
    <mergeCell ref="H26:N26"/>
    <mergeCell ref="O26:P26"/>
    <mergeCell ref="Q26:R26"/>
    <mergeCell ref="B27:C27"/>
    <mergeCell ref="D27:G27"/>
    <mergeCell ref="H27:N27"/>
    <mergeCell ref="O27:P27"/>
    <mergeCell ref="Q27:R27"/>
    <mergeCell ref="B25:C25"/>
    <mergeCell ref="D25:G25"/>
    <mergeCell ref="H25:N25"/>
    <mergeCell ref="O25:P25"/>
    <mergeCell ref="Q25:R25"/>
    <mergeCell ref="B23:C23"/>
    <mergeCell ref="D23:G23"/>
    <mergeCell ref="H23:N23"/>
    <mergeCell ref="O23:P23"/>
    <mergeCell ref="Q23:R23"/>
    <mergeCell ref="B24:C24"/>
    <mergeCell ref="D24:G24"/>
    <mergeCell ref="H24:N24"/>
    <mergeCell ref="O24:P24"/>
    <mergeCell ref="Q24:R24"/>
    <mergeCell ref="B21:C21"/>
    <mergeCell ref="D21:G21"/>
    <mergeCell ref="H21:N21"/>
    <mergeCell ref="O21:P21"/>
    <mergeCell ref="Q21:R21"/>
    <mergeCell ref="B22:C22"/>
    <mergeCell ref="D22:G22"/>
    <mergeCell ref="H22:N22"/>
    <mergeCell ref="O22:P22"/>
    <mergeCell ref="Q22:R22"/>
    <mergeCell ref="B19:C19"/>
    <mergeCell ref="D19:G19"/>
    <mergeCell ref="H19:N19"/>
    <mergeCell ref="O19:P19"/>
    <mergeCell ref="Q19:R19"/>
    <mergeCell ref="B17:C17"/>
    <mergeCell ref="D17:G17"/>
    <mergeCell ref="H17:N17"/>
    <mergeCell ref="O17:P17"/>
    <mergeCell ref="Q17:R17"/>
    <mergeCell ref="B20:C20"/>
    <mergeCell ref="D20:G20"/>
    <mergeCell ref="H20:N20"/>
    <mergeCell ref="O20:P20"/>
    <mergeCell ref="Q20:R20"/>
    <mergeCell ref="B18:C18"/>
    <mergeCell ref="D18:G18"/>
    <mergeCell ref="H18:N18"/>
    <mergeCell ref="O18:P18"/>
    <mergeCell ref="Q18:R18"/>
    <mergeCell ref="B15:C15"/>
    <mergeCell ref="D15:G15"/>
    <mergeCell ref="H15:N15"/>
    <mergeCell ref="O15:P15"/>
    <mergeCell ref="Q15:R15"/>
    <mergeCell ref="B16:C16"/>
    <mergeCell ref="D16:G16"/>
    <mergeCell ref="H16:N16"/>
    <mergeCell ref="O16:P16"/>
    <mergeCell ref="Q16:R16"/>
    <mergeCell ref="B13:C13"/>
    <mergeCell ref="D13:G13"/>
    <mergeCell ref="H13:N13"/>
    <mergeCell ref="O13:P13"/>
    <mergeCell ref="Q13:R13"/>
    <mergeCell ref="B14:C14"/>
    <mergeCell ref="D14:G14"/>
    <mergeCell ref="H14:N14"/>
    <mergeCell ref="O14:P14"/>
    <mergeCell ref="Q14:R14"/>
    <mergeCell ref="B11:C11"/>
    <mergeCell ref="D11:G11"/>
    <mergeCell ref="H11:N11"/>
    <mergeCell ref="O11:P11"/>
    <mergeCell ref="Q11:R11"/>
    <mergeCell ref="B12:C12"/>
    <mergeCell ref="D12:G12"/>
    <mergeCell ref="H12:N12"/>
    <mergeCell ref="O12:P12"/>
    <mergeCell ref="Q12:R12"/>
    <mergeCell ref="B9:C9"/>
    <mergeCell ref="D9:G9"/>
    <mergeCell ref="H9:N9"/>
    <mergeCell ref="O9:P9"/>
    <mergeCell ref="Q9:R9"/>
    <mergeCell ref="B10:C10"/>
    <mergeCell ref="D10:G10"/>
    <mergeCell ref="H10:N10"/>
    <mergeCell ref="O10:P10"/>
    <mergeCell ref="Q10:R10"/>
    <mergeCell ref="B7:C7"/>
    <mergeCell ref="D7:G7"/>
    <mergeCell ref="H7:N7"/>
    <mergeCell ref="O7:P7"/>
    <mergeCell ref="Q7:R7"/>
    <mergeCell ref="B8:C8"/>
    <mergeCell ref="D8:G8"/>
    <mergeCell ref="H8:N8"/>
    <mergeCell ref="O8:P8"/>
    <mergeCell ref="Q8:R8"/>
    <mergeCell ref="B5:C5"/>
    <mergeCell ref="D5:G5"/>
    <mergeCell ref="H5:N5"/>
    <mergeCell ref="O5:P5"/>
    <mergeCell ref="Q5:R5"/>
    <mergeCell ref="B6:C6"/>
    <mergeCell ref="D6:G6"/>
    <mergeCell ref="H6:N6"/>
    <mergeCell ref="O6:P6"/>
    <mergeCell ref="Q6:R6"/>
    <mergeCell ref="A1:X1"/>
    <mergeCell ref="Q3:R3"/>
    <mergeCell ref="S3:T3"/>
    <mergeCell ref="B4:C4"/>
    <mergeCell ref="D4:G4"/>
    <mergeCell ref="H4:N4"/>
    <mergeCell ref="O4:P4"/>
    <mergeCell ref="Q4:R4"/>
    <mergeCell ref="A2:P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IEC104 All Data</vt:lpstr>
      <vt:lpstr>FAT Procedure</vt:lpstr>
      <vt:lpstr>Energy_Meter</vt:lpstr>
      <vt:lpstr>Weather_Station</vt:lpstr>
      <vt:lpstr>Protection_Relay</vt:lpstr>
      <vt:lpstr>INV</vt:lpstr>
      <vt:lpstr>INv Modbus</vt:lpstr>
      <vt:lpstr>INV Modbus-2</vt:lpstr>
      <vt:lpstr>Fautl Data of P_Relay</vt:lpstr>
      <vt:lpstr>P_Realy Alarm</vt:lpstr>
      <vt:lpstr>Alarm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</dc:creator>
  <cp:lastModifiedBy>HA</cp:lastModifiedBy>
  <dcterms:created xsi:type="dcterms:W3CDTF">2026-03-04T08:22:30Z</dcterms:created>
  <dcterms:modified xsi:type="dcterms:W3CDTF">2026-03-05T14:27:31Z</dcterms:modified>
</cp:coreProperties>
</file>